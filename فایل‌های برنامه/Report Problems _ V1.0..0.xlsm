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M:\دورۀ کارشناسی‌ارشد - مهندسی نرم‌افزار\1400-2\مهندسی نرم‌افزار\پروژه\نهایی\فایل‌های برنامه\New folder\"/>
    </mc:Choice>
  </mc:AlternateContent>
  <bookViews>
    <workbookView xWindow="0" yWindow="0" windowWidth="23040" windowHeight="7776"/>
  </bookViews>
  <sheets>
    <sheet name="ReportProblems" sheetId="4" r:id="rId1"/>
    <sheet name="MainPage" sheetId="1" state="veryHidden" r:id="rId2"/>
    <sheet name="MainData" sheetId="2" r:id="rId3"/>
    <sheet name="ToUseInUserForm" sheetId="3" state="veryHidden" r:id="rId4"/>
  </sheets>
  <definedNames>
    <definedName name="_xlnm._FilterDatabase" localSheetId="2" hidden="1">MainData!$A$1:$I$415</definedName>
    <definedName name="Network">MainPage!$AB$12:$AB$16</definedName>
    <definedName name="NetworkTechnology">MainPage!$AC$12:$AC$15</definedName>
    <definedName name="Node">MainPage!$AD$12:$AD$14</definedName>
    <definedName name="ProductStatus">MainPage!$AA$12:$AA$17</definedName>
    <definedName name="ProductType">MainPage!$Z$12:$Z$13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G2" i="1" l="1"/>
  <c r="BJ19" i="1" l="1"/>
  <c r="BJ18" i="1" s="1"/>
  <c r="BJ17" i="1" s="1"/>
  <c r="BJ16" i="1" s="1"/>
  <c r="BJ15" i="1" s="1"/>
  <c r="BJ14" i="1" s="1"/>
  <c r="BJ13" i="1" s="1"/>
  <c r="BJ12" i="1" s="1"/>
  <c r="BJ20" i="1"/>
  <c r="BJ21" i="1"/>
  <c r="BJ22" i="1"/>
  <c r="BJ23" i="1"/>
  <c r="BJ24" i="1"/>
  <c r="BJ25" i="1"/>
  <c r="BJ26" i="1"/>
  <c r="BJ27" i="1"/>
  <c r="BJ28" i="1"/>
  <c r="BJ29" i="1"/>
  <c r="BJ30" i="1"/>
  <c r="BJ31" i="1"/>
  <c r="BJ32" i="1"/>
  <c r="BJ33" i="1"/>
  <c r="BJ34" i="1"/>
  <c r="BJ35" i="1"/>
  <c r="BJ36" i="1"/>
  <c r="BJ37" i="1"/>
  <c r="BJ38" i="1"/>
  <c r="BJ39" i="1"/>
  <c r="BJ40" i="1"/>
  <c r="BJ41" i="1"/>
  <c r="BJ42" i="1"/>
  <c r="BJ43" i="1"/>
  <c r="BJ44" i="1"/>
  <c r="BJ45" i="1"/>
  <c r="BJ46" i="1"/>
  <c r="BJ47" i="1"/>
  <c r="BJ48" i="1"/>
  <c r="BJ49" i="1"/>
  <c r="BJ50" i="1"/>
  <c r="BJ51" i="1"/>
  <c r="BJ52" i="1"/>
  <c r="BJ53" i="1"/>
  <c r="BJ54" i="1"/>
  <c r="BJ55" i="1"/>
  <c r="BJ56" i="1"/>
  <c r="BJ57" i="1"/>
  <c r="BJ58" i="1"/>
  <c r="BJ59" i="1"/>
  <c r="BJ60" i="1"/>
  <c r="BJ61" i="1"/>
  <c r="BJ62" i="1"/>
  <c r="BJ63" i="1"/>
  <c r="BJ64" i="1"/>
  <c r="BJ65" i="1"/>
  <c r="BJ66" i="1"/>
  <c r="BJ67" i="1"/>
  <c r="BJ68" i="1"/>
  <c r="BJ69" i="1"/>
  <c r="BJ70" i="1"/>
  <c r="BJ71" i="1"/>
  <c r="BJ72" i="1"/>
  <c r="BJ73" i="1"/>
  <c r="BJ74" i="1"/>
  <c r="BJ75" i="1"/>
  <c r="BJ76" i="1"/>
  <c r="BJ77" i="1"/>
  <c r="BJ78" i="1"/>
  <c r="BJ79" i="1"/>
  <c r="BJ80" i="1"/>
  <c r="BJ81" i="1"/>
  <c r="BJ82" i="1"/>
  <c r="BJ83" i="1"/>
  <c r="BJ84" i="1"/>
  <c r="BJ85" i="1"/>
  <c r="BJ86" i="1"/>
  <c r="BJ87" i="1"/>
  <c r="BJ88" i="1"/>
  <c r="BJ89" i="1"/>
  <c r="BJ90" i="1"/>
  <c r="BJ91" i="1"/>
  <c r="BJ92" i="1"/>
  <c r="BJ93" i="1"/>
  <c r="BJ94" i="1"/>
  <c r="BJ95" i="1"/>
  <c r="BJ96" i="1"/>
  <c r="BJ97" i="1"/>
  <c r="BJ98" i="1"/>
  <c r="BJ99" i="1"/>
  <c r="BJ100" i="1"/>
  <c r="BJ2" i="1" l="1"/>
  <c r="BI100" i="1"/>
  <c r="BH100" i="1"/>
  <c r="BG100" i="1"/>
  <c r="BF100" i="1"/>
  <c r="BE100" i="1"/>
  <c r="BD100" i="1"/>
  <c r="BC100" i="1"/>
  <c r="BB100" i="1"/>
  <c r="BA100" i="1"/>
  <c r="BI99" i="1"/>
  <c r="BH99" i="1"/>
  <c r="BG99" i="1"/>
  <c r="BF99" i="1"/>
  <c r="BE99" i="1"/>
  <c r="BD99" i="1"/>
  <c r="BC99" i="1"/>
  <c r="BB99" i="1"/>
  <c r="BA99" i="1"/>
  <c r="BI98" i="1"/>
  <c r="BH98" i="1"/>
  <c r="BG98" i="1"/>
  <c r="BF98" i="1"/>
  <c r="BE98" i="1"/>
  <c r="BD98" i="1"/>
  <c r="BC98" i="1"/>
  <c r="BB98" i="1"/>
  <c r="BA98" i="1"/>
  <c r="BI97" i="1"/>
  <c r="BH97" i="1"/>
  <c r="BG97" i="1"/>
  <c r="BF97" i="1"/>
  <c r="BE97" i="1"/>
  <c r="BD97" i="1"/>
  <c r="BC97" i="1"/>
  <c r="BB97" i="1"/>
  <c r="BA97" i="1"/>
  <c r="BI96" i="1"/>
  <c r="BH96" i="1"/>
  <c r="BG96" i="1"/>
  <c r="BF96" i="1"/>
  <c r="BE96" i="1"/>
  <c r="BD96" i="1"/>
  <c r="BC96" i="1"/>
  <c r="BB96" i="1"/>
  <c r="BA96" i="1"/>
  <c r="BI95" i="1"/>
  <c r="BH95" i="1"/>
  <c r="BG95" i="1"/>
  <c r="BF95" i="1"/>
  <c r="BE95" i="1"/>
  <c r="BD95" i="1"/>
  <c r="BC95" i="1"/>
  <c r="BB95" i="1"/>
  <c r="BA95" i="1"/>
  <c r="BI94" i="1"/>
  <c r="BH94" i="1"/>
  <c r="BG94" i="1"/>
  <c r="BF94" i="1"/>
  <c r="BE94" i="1"/>
  <c r="BD94" i="1"/>
  <c r="BC94" i="1"/>
  <c r="BB94" i="1"/>
  <c r="BA94" i="1"/>
  <c r="BI93" i="1"/>
  <c r="BH93" i="1"/>
  <c r="BG93" i="1"/>
  <c r="BF93" i="1"/>
  <c r="BE93" i="1"/>
  <c r="BD93" i="1"/>
  <c r="BC93" i="1"/>
  <c r="BB93" i="1"/>
  <c r="BA93" i="1"/>
  <c r="BI92" i="1"/>
  <c r="BH92" i="1"/>
  <c r="BG92" i="1"/>
  <c r="BF92" i="1"/>
  <c r="BE92" i="1"/>
  <c r="BD92" i="1"/>
  <c r="BC92" i="1"/>
  <c r="BB92" i="1"/>
  <c r="BA92" i="1"/>
  <c r="BI91" i="1"/>
  <c r="BH91" i="1"/>
  <c r="BG91" i="1"/>
  <c r="BF91" i="1"/>
  <c r="BE91" i="1"/>
  <c r="BD91" i="1"/>
  <c r="BC91" i="1"/>
  <c r="BB91" i="1"/>
  <c r="BA91" i="1"/>
  <c r="BI90" i="1"/>
  <c r="BH90" i="1"/>
  <c r="BG90" i="1"/>
  <c r="BF90" i="1"/>
  <c r="BE90" i="1"/>
  <c r="BD90" i="1"/>
  <c r="BC90" i="1"/>
  <c r="BB90" i="1"/>
  <c r="BA90" i="1"/>
  <c r="BI89" i="1"/>
  <c r="BH89" i="1"/>
  <c r="BG89" i="1"/>
  <c r="BF89" i="1"/>
  <c r="BE89" i="1"/>
  <c r="BD89" i="1"/>
  <c r="BC89" i="1"/>
  <c r="BB89" i="1"/>
  <c r="BA89" i="1"/>
  <c r="BI88" i="1"/>
  <c r="BH88" i="1"/>
  <c r="BG88" i="1"/>
  <c r="BF88" i="1"/>
  <c r="BE88" i="1"/>
  <c r="BD88" i="1"/>
  <c r="BC88" i="1"/>
  <c r="BB88" i="1"/>
  <c r="BA88" i="1"/>
  <c r="BI87" i="1"/>
  <c r="BH87" i="1"/>
  <c r="BG87" i="1"/>
  <c r="BF87" i="1"/>
  <c r="BE87" i="1"/>
  <c r="BD87" i="1"/>
  <c r="BC87" i="1"/>
  <c r="BB87" i="1"/>
  <c r="BA87" i="1"/>
  <c r="BI86" i="1"/>
  <c r="BH86" i="1"/>
  <c r="BG86" i="1"/>
  <c r="BF86" i="1"/>
  <c r="BE86" i="1"/>
  <c r="BD86" i="1"/>
  <c r="BC86" i="1"/>
  <c r="BB86" i="1"/>
  <c r="BA86" i="1"/>
  <c r="BI85" i="1"/>
  <c r="BH85" i="1"/>
  <c r="BG85" i="1"/>
  <c r="BF85" i="1"/>
  <c r="BE85" i="1"/>
  <c r="BD85" i="1"/>
  <c r="BC85" i="1"/>
  <c r="BB85" i="1"/>
  <c r="BA85" i="1"/>
  <c r="BI84" i="1"/>
  <c r="BH84" i="1"/>
  <c r="BG84" i="1"/>
  <c r="BF84" i="1"/>
  <c r="BE84" i="1"/>
  <c r="BD84" i="1"/>
  <c r="BC84" i="1"/>
  <c r="BB84" i="1"/>
  <c r="BA84" i="1"/>
  <c r="BI83" i="1"/>
  <c r="BH83" i="1"/>
  <c r="BG83" i="1"/>
  <c r="BF83" i="1"/>
  <c r="BE83" i="1"/>
  <c r="BD83" i="1"/>
  <c r="BC83" i="1"/>
  <c r="BB83" i="1"/>
  <c r="BA83" i="1"/>
  <c r="BI82" i="1"/>
  <c r="BH82" i="1"/>
  <c r="BG82" i="1"/>
  <c r="BF82" i="1"/>
  <c r="BE82" i="1"/>
  <c r="BD82" i="1"/>
  <c r="BC82" i="1"/>
  <c r="BB82" i="1"/>
  <c r="BA82" i="1"/>
  <c r="BI81" i="1"/>
  <c r="BH81" i="1"/>
  <c r="BG81" i="1"/>
  <c r="BF81" i="1"/>
  <c r="BE81" i="1"/>
  <c r="BD81" i="1"/>
  <c r="BC81" i="1"/>
  <c r="BB81" i="1"/>
  <c r="BA81" i="1"/>
  <c r="BI80" i="1"/>
  <c r="BH80" i="1"/>
  <c r="BG80" i="1"/>
  <c r="BF80" i="1"/>
  <c r="BE80" i="1"/>
  <c r="BD80" i="1"/>
  <c r="BC80" i="1"/>
  <c r="BB80" i="1"/>
  <c r="BA80" i="1"/>
  <c r="BI79" i="1"/>
  <c r="BH79" i="1"/>
  <c r="BG79" i="1"/>
  <c r="BF79" i="1"/>
  <c r="BE79" i="1"/>
  <c r="BD79" i="1"/>
  <c r="BC79" i="1"/>
  <c r="BB79" i="1"/>
  <c r="BA79" i="1"/>
  <c r="BI78" i="1"/>
  <c r="BH78" i="1"/>
  <c r="BG78" i="1"/>
  <c r="BF78" i="1"/>
  <c r="BE78" i="1"/>
  <c r="BD78" i="1"/>
  <c r="BC78" i="1"/>
  <c r="BB78" i="1"/>
  <c r="BA78" i="1"/>
  <c r="BI77" i="1"/>
  <c r="BH77" i="1"/>
  <c r="BG77" i="1"/>
  <c r="BF77" i="1"/>
  <c r="BE77" i="1"/>
  <c r="BD77" i="1"/>
  <c r="BC77" i="1"/>
  <c r="BB77" i="1"/>
  <c r="BA77" i="1"/>
  <c r="BI76" i="1"/>
  <c r="BH76" i="1"/>
  <c r="BG76" i="1"/>
  <c r="BF76" i="1"/>
  <c r="BE76" i="1"/>
  <c r="BD76" i="1"/>
  <c r="BC76" i="1"/>
  <c r="BB76" i="1"/>
  <c r="BA76" i="1"/>
  <c r="BI75" i="1"/>
  <c r="BH75" i="1"/>
  <c r="BG75" i="1"/>
  <c r="BF75" i="1"/>
  <c r="BE75" i="1"/>
  <c r="BD75" i="1"/>
  <c r="BC75" i="1"/>
  <c r="BB75" i="1"/>
  <c r="BA75" i="1"/>
  <c r="BI74" i="1"/>
  <c r="BI73" i="1" s="1"/>
  <c r="BI72" i="1" s="1"/>
  <c r="BI71" i="1" s="1"/>
  <c r="BI70" i="1" s="1"/>
  <c r="BI69" i="1" s="1"/>
  <c r="BI68" i="1" s="1"/>
  <c r="BI67" i="1" s="1"/>
  <c r="BI66" i="1" s="1"/>
  <c r="BI65" i="1" s="1"/>
  <c r="BI64" i="1" s="1"/>
  <c r="BI63" i="1" s="1"/>
  <c r="BI62" i="1" s="1"/>
  <c r="BI61" i="1" s="1"/>
  <c r="BI60" i="1" s="1"/>
  <c r="BI59" i="1" s="1"/>
  <c r="BI58" i="1" s="1"/>
  <c r="BI57" i="1" s="1"/>
  <c r="BI56" i="1" s="1"/>
  <c r="BI55" i="1" s="1"/>
  <c r="BI54" i="1" s="1"/>
  <c r="BI53" i="1" s="1"/>
  <c r="BI52" i="1" s="1"/>
  <c r="BI51" i="1" s="1"/>
  <c r="BI50" i="1" s="1"/>
  <c r="BI49" i="1" s="1"/>
  <c r="BI48" i="1" s="1"/>
  <c r="BI47" i="1" s="1"/>
  <c r="BI46" i="1" s="1"/>
  <c r="BI45" i="1" s="1"/>
  <c r="BI44" i="1" s="1"/>
  <c r="BI43" i="1" s="1"/>
  <c r="BI42" i="1" s="1"/>
  <c r="BI41" i="1" s="1"/>
  <c r="BI40" i="1" s="1"/>
  <c r="BI39" i="1" s="1"/>
  <c r="BI38" i="1" s="1"/>
  <c r="BI37" i="1" s="1"/>
  <c r="BI36" i="1" s="1"/>
  <c r="BI35" i="1" s="1"/>
  <c r="BI34" i="1" s="1"/>
  <c r="BI33" i="1" s="1"/>
  <c r="BI32" i="1" s="1"/>
  <c r="BI31" i="1" s="1"/>
  <c r="BI30" i="1" s="1"/>
  <c r="BI29" i="1" s="1"/>
  <c r="BI28" i="1" s="1"/>
  <c r="BI27" i="1" s="1"/>
  <c r="BI26" i="1" s="1"/>
  <c r="BI25" i="1" s="1"/>
  <c r="BI24" i="1" s="1"/>
  <c r="BI23" i="1" s="1"/>
  <c r="BI22" i="1" s="1"/>
  <c r="BI21" i="1" s="1"/>
  <c r="BI20" i="1" s="1"/>
  <c r="BI19" i="1" s="1"/>
  <c r="BI18" i="1" s="1"/>
  <c r="BI17" i="1" s="1"/>
  <c r="BI16" i="1" s="1"/>
  <c r="BI15" i="1" s="1"/>
  <c r="BI14" i="1" s="1"/>
  <c r="BI13" i="1" s="1"/>
  <c r="BH74" i="1"/>
  <c r="BG74" i="1"/>
  <c r="BF74" i="1"/>
  <c r="BE74" i="1"/>
  <c r="BD74" i="1"/>
  <c r="BC74" i="1"/>
  <c r="BB74" i="1"/>
  <c r="BA74" i="1"/>
  <c r="BH73" i="1"/>
  <c r="BG73" i="1"/>
  <c r="BF73" i="1"/>
  <c r="BE73" i="1"/>
  <c r="BD73" i="1"/>
  <c r="BC73" i="1"/>
  <c r="BB73" i="1"/>
  <c r="BA73" i="1"/>
  <c r="BH72" i="1"/>
  <c r="BG72" i="1"/>
  <c r="BF72" i="1"/>
  <c r="BE72" i="1"/>
  <c r="BD72" i="1"/>
  <c r="BC72" i="1"/>
  <c r="BB72" i="1"/>
  <c r="BA72" i="1"/>
  <c r="BH71" i="1"/>
  <c r="BG71" i="1"/>
  <c r="BF71" i="1"/>
  <c r="BE71" i="1"/>
  <c r="BD71" i="1"/>
  <c r="BC71" i="1"/>
  <c r="BB71" i="1"/>
  <c r="BA71" i="1"/>
  <c r="BH70" i="1"/>
  <c r="BG70" i="1"/>
  <c r="BF70" i="1"/>
  <c r="BE70" i="1"/>
  <c r="BD70" i="1"/>
  <c r="BC70" i="1"/>
  <c r="BB70" i="1"/>
  <c r="BA70" i="1"/>
  <c r="BH69" i="1"/>
  <c r="BG69" i="1"/>
  <c r="BF69" i="1"/>
  <c r="BE69" i="1"/>
  <c r="BD69" i="1"/>
  <c r="BC69" i="1"/>
  <c r="BB69" i="1"/>
  <c r="BA69" i="1"/>
  <c r="BH68" i="1"/>
  <c r="BG68" i="1"/>
  <c r="BF68" i="1"/>
  <c r="BE68" i="1"/>
  <c r="BD68" i="1"/>
  <c r="BC68" i="1"/>
  <c r="BB68" i="1"/>
  <c r="BA68" i="1"/>
  <c r="BH67" i="1"/>
  <c r="BG67" i="1"/>
  <c r="BF67" i="1"/>
  <c r="BE67" i="1"/>
  <c r="BD67" i="1"/>
  <c r="BC67" i="1"/>
  <c r="BB67" i="1"/>
  <c r="BA67" i="1"/>
  <c r="BH66" i="1"/>
  <c r="BG66" i="1"/>
  <c r="BF66" i="1"/>
  <c r="BE66" i="1"/>
  <c r="BD66" i="1"/>
  <c r="BC66" i="1"/>
  <c r="BB66" i="1"/>
  <c r="BA66" i="1"/>
  <c r="BH65" i="1"/>
  <c r="BG65" i="1"/>
  <c r="BF65" i="1"/>
  <c r="BE65" i="1"/>
  <c r="BD65" i="1"/>
  <c r="BC65" i="1"/>
  <c r="BB65" i="1"/>
  <c r="BA65" i="1"/>
  <c r="BH64" i="1"/>
  <c r="BG64" i="1"/>
  <c r="BF64" i="1"/>
  <c r="BE64" i="1"/>
  <c r="BD64" i="1"/>
  <c r="BC64" i="1"/>
  <c r="BB64" i="1"/>
  <c r="BA64" i="1"/>
  <c r="BH63" i="1"/>
  <c r="BG63" i="1"/>
  <c r="BF63" i="1"/>
  <c r="BE63" i="1"/>
  <c r="BD63" i="1"/>
  <c r="BC63" i="1"/>
  <c r="BB63" i="1"/>
  <c r="BA63" i="1"/>
  <c r="BH62" i="1"/>
  <c r="BG62" i="1"/>
  <c r="BF62" i="1"/>
  <c r="BE62" i="1"/>
  <c r="BD62" i="1"/>
  <c r="BC62" i="1"/>
  <c r="BB62" i="1"/>
  <c r="BA62" i="1"/>
  <c r="BH61" i="1"/>
  <c r="BG61" i="1"/>
  <c r="BF61" i="1"/>
  <c r="BE61" i="1"/>
  <c r="BD61" i="1"/>
  <c r="BC61" i="1"/>
  <c r="BB61" i="1"/>
  <c r="BA61" i="1"/>
  <c r="BH60" i="1"/>
  <c r="BG60" i="1"/>
  <c r="BF60" i="1"/>
  <c r="BE60" i="1"/>
  <c r="BD60" i="1"/>
  <c r="BC60" i="1"/>
  <c r="BB60" i="1"/>
  <c r="BA60" i="1"/>
  <c r="BH59" i="1"/>
  <c r="BG59" i="1"/>
  <c r="BF59" i="1"/>
  <c r="BE59" i="1"/>
  <c r="BD59" i="1"/>
  <c r="BC59" i="1"/>
  <c r="BB59" i="1"/>
  <c r="BA59" i="1"/>
  <c r="BH58" i="1"/>
  <c r="BG58" i="1"/>
  <c r="BF58" i="1"/>
  <c r="BE58" i="1"/>
  <c r="BD58" i="1"/>
  <c r="BC58" i="1"/>
  <c r="BB58" i="1"/>
  <c r="BA58" i="1"/>
  <c r="BH57" i="1"/>
  <c r="BG57" i="1"/>
  <c r="BF57" i="1"/>
  <c r="BE57" i="1"/>
  <c r="BD57" i="1"/>
  <c r="BC57" i="1"/>
  <c r="BB57" i="1"/>
  <c r="BA57" i="1"/>
  <c r="BH56" i="1"/>
  <c r="BG56" i="1"/>
  <c r="BF56" i="1"/>
  <c r="BE56" i="1"/>
  <c r="BD56" i="1"/>
  <c r="BC56" i="1"/>
  <c r="BB56" i="1"/>
  <c r="BA56" i="1"/>
  <c r="BH55" i="1"/>
  <c r="BG55" i="1"/>
  <c r="BF55" i="1"/>
  <c r="BE55" i="1"/>
  <c r="BD55" i="1"/>
  <c r="BC55" i="1"/>
  <c r="BB55" i="1"/>
  <c r="BA55" i="1"/>
  <c r="BH54" i="1"/>
  <c r="BG54" i="1"/>
  <c r="BF54" i="1"/>
  <c r="BE54" i="1"/>
  <c r="BD54" i="1"/>
  <c r="BC54" i="1"/>
  <c r="BB54" i="1"/>
  <c r="BA54" i="1"/>
  <c r="BH53" i="1"/>
  <c r="BG53" i="1"/>
  <c r="BF53" i="1"/>
  <c r="BE53" i="1"/>
  <c r="BD53" i="1"/>
  <c r="BC53" i="1"/>
  <c r="BB53" i="1"/>
  <c r="BA53" i="1"/>
  <c r="BH52" i="1"/>
  <c r="BG52" i="1"/>
  <c r="BF52" i="1"/>
  <c r="BE52" i="1"/>
  <c r="BD52" i="1"/>
  <c r="BC52" i="1"/>
  <c r="BB52" i="1"/>
  <c r="BA52" i="1"/>
  <c r="BH51" i="1"/>
  <c r="BG51" i="1"/>
  <c r="BF51" i="1"/>
  <c r="BE51" i="1"/>
  <c r="BD51" i="1"/>
  <c r="BC51" i="1"/>
  <c r="BB51" i="1"/>
  <c r="BA51" i="1"/>
  <c r="BH50" i="1"/>
  <c r="BG50" i="1"/>
  <c r="BF50" i="1"/>
  <c r="BE50" i="1"/>
  <c r="BD50" i="1"/>
  <c r="BC50" i="1"/>
  <c r="BB50" i="1"/>
  <c r="BA50" i="1"/>
  <c r="BH49" i="1"/>
  <c r="BG49" i="1"/>
  <c r="BF49" i="1"/>
  <c r="BE49" i="1"/>
  <c r="BD49" i="1"/>
  <c r="BC49" i="1"/>
  <c r="BB49" i="1"/>
  <c r="BA49" i="1"/>
  <c r="BH48" i="1"/>
  <c r="BG48" i="1"/>
  <c r="BF48" i="1"/>
  <c r="BE48" i="1"/>
  <c r="BD48" i="1"/>
  <c r="BC48" i="1"/>
  <c r="BB48" i="1"/>
  <c r="BA48" i="1"/>
  <c r="BH47" i="1"/>
  <c r="BG47" i="1"/>
  <c r="BF47" i="1"/>
  <c r="BE47" i="1"/>
  <c r="BD47" i="1"/>
  <c r="BC47" i="1"/>
  <c r="BB47" i="1"/>
  <c r="BA47" i="1"/>
  <c r="BH46" i="1"/>
  <c r="BG46" i="1"/>
  <c r="BF46" i="1"/>
  <c r="BE46" i="1"/>
  <c r="BD46" i="1"/>
  <c r="BC46" i="1"/>
  <c r="BB46" i="1"/>
  <c r="BA46" i="1"/>
  <c r="BH45" i="1"/>
  <c r="BG45" i="1"/>
  <c r="BF45" i="1"/>
  <c r="BE45" i="1"/>
  <c r="BD45" i="1"/>
  <c r="BC45" i="1"/>
  <c r="BB45" i="1"/>
  <c r="BA45" i="1"/>
  <c r="BH44" i="1"/>
  <c r="BG44" i="1"/>
  <c r="BF44" i="1"/>
  <c r="BE44" i="1"/>
  <c r="BD44" i="1"/>
  <c r="BC44" i="1"/>
  <c r="BB44" i="1"/>
  <c r="BA44" i="1"/>
  <c r="BH43" i="1"/>
  <c r="BG43" i="1"/>
  <c r="BF43" i="1"/>
  <c r="BE43" i="1"/>
  <c r="BD43" i="1"/>
  <c r="BC43" i="1"/>
  <c r="BB43" i="1"/>
  <c r="BA43" i="1"/>
  <c r="BH42" i="1"/>
  <c r="BG42" i="1"/>
  <c r="BF42" i="1"/>
  <c r="BE42" i="1"/>
  <c r="BD42" i="1"/>
  <c r="BC42" i="1"/>
  <c r="BB42" i="1"/>
  <c r="BA42" i="1"/>
  <c r="BH41" i="1"/>
  <c r="BG41" i="1"/>
  <c r="BF41" i="1"/>
  <c r="BE41" i="1"/>
  <c r="BD41" i="1"/>
  <c r="BC41" i="1"/>
  <c r="BB41" i="1"/>
  <c r="BA41" i="1"/>
  <c r="BH40" i="1"/>
  <c r="BG40" i="1"/>
  <c r="BF40" i="1"/>
  <c r="BE40" i="1"/>
  <c r="BD40" i="1"/>
  <c r="BC40" i="1"/>
  <c r="BB40" i="1"/>
  <c r="BA40" i="1"/>
  <c r="BH39" i="1"/>
  <c r="BG39" i="1"/>
  <c r="BF39" i="1"/>
  <c r="BE39" i="1"/>
  <c r="BD39" i="1"/>
  <c r="BC39" i="1"/>
  <c r="BB39" i="1"/>
  <c r="BA39" i="1"/>
  <c r="BH38" i="1"/>
  <c r="BG38" i="1"/>
  <c r="BF38" i="1"/>
  <c r="BE38" i="1"/>
  <c r="BD38" i="1"/>
  <c r="BC38" i="1"/>
  <c r="BB38" i="1"/>
  <c r="BA38" i="1"/>
  <c r="BH37" i="1"/>
  <c r="BG37" i="1"/>
  <c r="BG36" i="1" s="1"/>
  <c r="BG35" i="1" s="1"/>
  <c r="BG34" i="1" s="1"/>
  <c r="BG33" i="1" s="1"/>
  <c r="BF37" i="1"/>
  <c r="BE37" i="1"/>
  <c r="BD37" i="1"/>
  <c r="BC37" i="1"/>
  <c r="BB37" i="1"/>
  <c r="BA37" i="1"/>
  <c r="BH36" i="1"/>
  <c r="BF36" i="1"/>
  <c r="BE36" i="1"/>
  <c r="BD36" i="1"/>
  <c r="BC36" i="1"/>
  <c r="BB36" i="1"/>
  <c r="BA36" i="1"/>
  <c r="BH35" i="1"/>
  <c r="BF35" i="1"/>
  <c r="BE35" i="1"/>
  <c r="BD35" i="1"/>
  <c r="BC35" i="1"/>
  <c r="BB35" i="1"/>
  <c r="BA35" i="1"/>
  <c r="BH34" i="1"/>
  <c r="BF34" i="1"/>
  <c r="BE34" i="1"/>
  <c r="BD34" i="1"/>
  <c r="BC34" i="1"/>
  <c r="BB34" i="1"/>
  <c r="BA34" i="1"/>
  <c r="BH33" i="1"/>
  <c r="BF33" i="1"/>
  <c r="BE33" i="1"/>
  <c r="BD33" i="1"/>
  <c r="BC33" i="1"/>
  <c r="BB33" i="1"/>
  <c r="BA33" i="1"/>
  <c r="BH32" i="1"/>
  <c r="BF32" i="1"/>
  <c r="BE32" i="1"/>
  <c r="BD32" i="1"/>
  <c r="BC32" i="1"/>
  <c r="BB32" i="1"/>
  <c r="BA32" i="1"/>
  <c r="BH31" i="1"/>
  <c r="BF31" i="1"/>
  <c r="BE31" i="1"/>
  <c r="BD31" i="1"/>
  <c r="BC31" i="1"/>
  <c r="BB31" i="1"/>
  <c r="BA31" i="1"/>
  <c r="BH30" i="1"/>
  <c r="BF30" i="1"/>
  <c r="BE30" i="1"/>
  <c r="BD30" i="1"/>
  <c r="BC30" i="1"/>
  <c r="BB30" i="1"/>
  <c r="BA30" i="1"/>
  <c r="BH29" i="1"/>
  <c r="BF29" i="1"/>
  <c r="BE29" i="1"/>
  <c r="BD29" i="1"/>
  <c r="BC29" i="1"/>
  <c r="BB29" i="1"/>
  <c r="BA29" i="1"/>
  <c r="BH28" i="1"/>
  <c r="BF28" i="1"/>
  <c r="BE28" i="1"/>
  <c r="BD28" i="1"/>
  <c r="BC28" i="1"/>
  <c r="BB28" i="1"/>
  <c r="BA28" i="1"/>
  <c r="BH27" i="1"/>
  <c r="BH26" i="1" s="1"/>
  <c r="BH25" i="1" s="1"/>
  <c r="BH24" i="1" s="1"/>
  <c r="BH23" i="1" s="1"/>
  <c r="BH22" i="1" s="1"/>
  <c r="BH21" i="1" s="1"/>
  <c r="BH20" i="1" s="1"/>
  <c r="BH19" i="1" s="1"/>
  <c r="BH18" i="1" s="1"/>
  <c r="BH17" i="1" s="1"/>
  <c r="BH16" i="1" s="1"/>
  <c r="BH15" i="1" s="1"/>
  <c r="BH14" i="1" s="1"/>
  <c r="BH13" i="1" s="1"/>
  <c r="BF27" i="1"/>
  <c r="BE27" i="1"/>
  <c r="BD27" i="1"/>
  <c r="BC27" i="1"/>
  <c r="BB27" i="1"/>
  <c r="BA27" i="1"/>
  <c r="BE26" i="1"/>
  <c r="BD26" i="1"/>
  <c r="BC26" i="1"/>
  <c r="BB26" i="1"/>
  <c r="BA26" i="1"/>
  <c r="BE25" i="1"/>
  <c r="BD25" i="1"/>
  <c r="BC25" i="1"/>
  <c r="BB25" i="1"/>
  <c r="BA25" i="1"/>
  <c r="BE24" i="1"/>
  <c r="BD24" i="1"/>
  <c r="BC24" i="1"/>
  <c r="BB24" i="1"/>
  <c r="BA24" i="1"/>
  <c r="BE23" i="1"/>
  <c r="BD23" i="1"/>
  <c r="BC23" i="1"/>
  <c r="BB23" i="1"/>
  <c r="BA23" i="1"/>
  <c r="BE22" i="1"/>
  <c r="BD22" i="1"/>
  <c r="BC22" i="1"/>
  <c r="BB22" i="1"/>
  <c r="BA22" i="1"/>
  <c r="BE21" i="1"/>
  <c r="BD21" i="1"/>
  <c r="BC21" i="1"/>
  <c r="BB21" i="1"/>
  <c r="BA21" i="1"/>
  <c r="BE20" i="1"/>
  <c r="BD20" i="1"/>
  <c r="BC20" i="1"/>
  <c r="BB20" i="1"/>
  <c r="BA20" i="1"/>
  <c r="BE19" i="1"/>
  <c r="BD19" i="1"/>
  <c r="BC19" i="1"/>
  <c r="BB19" i="1"/>
  <c r="BA19" i="1"/>
  <c r="BE18" i="1"/>
  <c r="BD18" i="1"/>
  <c r="BC18" i="1"/>
  <c r="BB18" i="1"/>
  <c r="BA18" i="1"/>
  <c r="BE17" i="1"/>
  <c r="BD17" i="1"/>
  <c r="BC17" i="1"/>
  <c r="BB17" i="1"/>
  <c r="BB16" i="1" s="1"/>
  <c r="BB15" i="1" s="1"/>
  <c r="BB14" i="1" s="1"/>
  <c r="BB13" i="1" s="1"/>
  <c r="BA17" i="1"/>
  <c r="BE16" i="1"/>
  <c r="BD16" i="1"/>
  <c r="BC16" i="1"/>
  <c r="BA16" i="1"/>
  <c r="BA15" i="1" s="1"/>
  <c r="BA14" i="1" s="1"/>
  <c r="BE15" i="1"/>
  <c r="BD15" i="1"/>
  <c r="BC15" i="1"/>
  <c r="BC14" i="1" s="1"/>
  <c r="BC13" i="1" s="1"/>
  <c r="BE14" i="1"/>
  <c r="BD14" i="1"/>
  <c r="BD13" i="1" s="1"/>
  <c r="A12" i="1" a="1"/>
  <c r="A12" i="1" s="1"/>
  <c r="A13" i="1" s="1" a="1"/>
  <c r="A13" i="1" s="1"/>
  <c r="EA3" i="1"/>
  <c r="AF3" i="1"/>
  <c r="EA4" i="1" s="1"/>
  <c r="AE2" i="1"/>
  <c r="M2" i="1"/>
  <c r="CD2" i="1" s="1"/>
  <c r="K2" i="1"/>
  <c r="K5" i="1" s="1"/>
  <c r="J2" i="1"/>
  <c r="I2" i="1"/>
  <c r="H2" i="1"/>
  <c r="F2" i="1"/>
  <c r="E2" i="1"/>
  <c r="D2" i="1"/>
  <c r="C2" i="1"/>
  <c r="BE13" i="1" l="1"/>
  <c r="BF26" i="1"/>
  <c r="BF25" i="1" s="1"/>
  <c r="BF24" i="1" s="1"/>
  <c r="BF23" i="1" s="1"/>
  <c r="BF22" i="1" s="1"/>
  <c r="BF21" i="1" s="1"/>
  <c r="BF20" i="1" s="1"/>
  <c r="BF19" i="1" s="1"/>
  <c r="BF18" i="1" s="1"/>
  <c r="BF17" i="1" s="1"/>
  <c r="BF16" i="1" s="1"/>
  <c r="BF15" i="1" s="1"/>
  <c r="BF14" i="1" s="1"/>
  <c r="BF13" i="1" s="1"/>
  <c r="BF12" i="1" s="1"/>
  <c r="BF2" i="1" s="1"/>
  <c r="BF5" i="1" s="1"/>
  <c r="G5" i="1" s="1"/>
  <c r="BG32" i="1"/>
  <c r="BG31" i="1" s="1"/>
  <c r="BG30" i="1" s="1"/>
  <c r="BG29" i="1" s="1"/>
  <c r="BG28" i="1" s="1"/>
  <c r="BG27" i="1" s="1"/>
  <c r="BG26" i="1" s="1"/>
  <c r="BG25" i="1" s="1"/>
  <c r="BG24" i="1" s="1"/>
  <c r="BG23" i="1" s="1"/>
  <c r="BG22" i="1" s="1"/>
  <c r="BG21" i="1" s="1"/>
  <c r="BG20" i="1" s="1"/>
  <c r="BG19" i="1" s="1"/>
  <c r="BG18" i="1" s="1"/>
  <c r="BG17" i="1" s="1"/>
  <c r="BG16" i="1" s="1"/>
  <c r="BG15" i="1" s="1"/>
  <c r="BG14" i="1" s="1"/>
  <c r="BG13" i="1" s="1"/>
  <c r="BG12" i="1" s="1"/>
  <c r="BG2" i="1" s="1"/>
  <c r="BG5" i="1" s="1"/>
  <c r="H5" i="1" s="1"/>
  <c r="BB12" i="1"/>
  <c r="BB2" i="1" s="1"/>
  <c r="BB5" i="1" s="1"/>
  <c r="C5" i="1" s="1"/>
  <c r="BD12" i="1"/>
  <c r="BD2" i="1" s="1"/>
  <c r="BD5" i="1" s="1"/>
  <c r="E5" i="1" s="1"/>
  <c r="BH12" i="1"/>
  <c r="BH2" i="1" s="1"/>
  <c r="BH5" i="1" s="1"/>
  <c r="I5" i="1" s="1"/>
  <c r="BM12" i="1" s="1"/>
  <c r="CA2" i="1"/>
  <c r="BE12" i="1"/>
  <c r="BE2" i="1" s="1"/>
  <c r="BE5" i="1" s="1"/>
  <c r="F5" i="1" s="1"/>
  <c r="BC12" i="1"/>
  <c r="BC2" i="1" s="1"/>
  <c r="BC5" i="1" s="1"/>
  <c r="D5" i="1" s="1"/>
  <c r="BI12" i="1"/>
  <c r="BI2" i="1" s="1"/>
  <c r="BA13" i="1"/>
  <c r="BA12" i="1" s="1"/>
  <c r="BA2" i="1" s="1"/>
  <c r="BA5" i="1" s="1"/>
  <c r="B5" i="1" s="1"/>
  <c r="A14" i="1" a="1"/>
  <c r="A14" i="1" s="1"/>
  <c r="EA5" i="1"/>
  <c r="DC2" i="1"/>
  <c r="CC2" i="1"/>
  <c r="DG2" i="1"/>
  <c r="BJ5" i="1"/>
  <c r="M5" i="1" s="1"/>
  <c r="AE3" i="1"/>
  <c r="DF2" i="1"/>
  <c r="CB2" i="1"/>
  <c r="DB2" i="1"/>
  <c r="BO12" i="1" l="1"/>
  <c r="A15" i="1" a="1"/>
  <c r="A15" i="1" s="1"/>
  <c r="BI5" i="1"/>
  <c r="J5" i="1" s="1"/>
  <c r="BM23" i="1" l="1"/>
  <c r="BO23" i="1" s="1"/>
  <c r="BM21" i="1"/>
  <c r="BM20" i="1"/>
  <c r="BM29" i="1"/>
  <c r="BO29" i="1" s="1"/>
  <c r="BM17" i="1"/>
  <c r="BM14" i="1"/>
  <c r="BM31" i="1"/>
  <c r="BO31" i="1" s="1"/>
  <c r="BM16" i="1"/>
  <c r="BM30" i="1"/>
  <c r="BO30" i="1" s="1"/>
  <c r="BM22" i="1"/>
  <c r="BM18" i="1"/>
  <c r="BO18" i="1" s="1"/>
  <c r="BM15" i="1"/>
  <c r="BM24" i="1"/>
  <c r="BO24" i="1" s="1"/>
  <c r="BM26" i="1"/>
  <c r="BO26" i="1" s="1"/>
  <c r="BM28" i="1"/>
  <c r="BO28" i="1" s="1"/>
  <c r="BM25" i="1"/>
  <c r="BO25" i="1" s="1"/>
  <c r="BM13" i="1"/>
  <c r="BM19" i="1"/>
  <c r="BO19" i="1" s="1"/>
  <c r="BM27" i="1"/>
  <c r="BO27" i="1" s="1"/>
  <c r="A16" i="1" a="1"/>
  <c r="A16" i="1" s="1"/>
  <c r="A17" i="1" s="1" a="1"/>
  <c r="A17" i="1" s="1"/>
  <c r="A18" i="1" s="1" a="1"/>
  <c r="A18" i="1" s="1"/>
  <c r="L5" i="1"/>
  <c r="DE2" i="1"/>
  <c r="BO20" i="1" l="1"/>
  <c r="BO13" i="1"/>
  <c r="A19" i="1" a="1"/>
  <c r="A19" i="1" s="1"/>
  <c r="A20" i="1" s="1" a="1"/>
  <c r="A20" i="1" s="1"/>
  <c r="BO5" i="1" l="1"/>
  <c r="Q2" i="3" s="1"/>
  <c r="A21" i="1" a="1"/>
  <c r="A21" i="1" s="1"/>
  <c r="A22" i="1" l="1" a="1"/>
  <c r="A22" i="1" s="1"/>
  <c r="A23" i="1" s="1" a="1"/>
  <c r="A23" i="1" s="1"/>
  <c r="A24" i="1" s="1" a="1"/>
  <c r="A24" i="1" s="1"/>
  <c r="A25" i="1" l="1" a="1"/>
  <c r="A25" i="1" s="1"/>
  <c r="A26" i="1" s="1" a="1"/>
  <c r="A26" i="1" s="1"/>
  <c r="A27" i="1" s="1" a="1"/>
  <c r="A27" i="1" s="1"/>
  <c r="A28" i="1" s="1" a="1"/>
  <c r="A28" i="1" s="1"/>
  <c r="A29" i="1" s="1" a="1"/>
  <c r="A29" i="1" s="1"/>
  <c r="A30" i="1" s="1" a="1"/>
  <c r="A30" i="1" s="1"/>
</calcChain>
</file>

<file path=xl/sharedStrings.xml><?xml version="1.0" encoding="utf-8"?>
<sst xmlns="http://schemas.openxmlformats.org/spreadsheetml/2006/main" count="4188" uniqueCount="320">
  <si>
    <t xml:space="preserve">کانال </t>
  </si>
  <si>
    <t>رایتل</t>
  </si>
  <si>
    <t>فروش محصول</t>
  </si>
  <si>
    <t>-</t>
  </si>
  <si>
    <t>اینترنت</t>
  </si>
  <si>
    <t>کد دستوری رایتلی</t>
  </si>
  <si>
    <t>عدم دریافت پاسخ استعلام</t>
  </si>
  <si>
    <t>عدم نمایش اطلاعات</t>
  </si>
  <si>
    <t>تماس صوتی</t>
  </si>
  <si>
    <t>افزایش اعتبار</t>
  </si>
  <si>
    <t>عدم ثبت پرداختی جهت افزایش اعتبار</t>
  </si>
  <si>
    <t>عدم ثبت پرداختی</t>
  </si>
  <si>
    <t>قطع دوطرفه</t>
  </si>
  <si>
    <t>منقضی</t>
  </si>
  <si>
    <t>اعمال کارت شارژ فیزیکی</t>
  </si>
  <si>
    <t>عدم امکان انجام شارژ</t>
  </si>
  <si>
    <t>عنوان فرم</t>
  </si>
  <si>
    <t>برچسب 1</t>
  </si>
  <si>
    <t>برچسب 2</t>
  </si>
  <si>
    <t>برچسب 3</t>
  </si>
  <si>
    <t>برچسب 4</t>
  </si>
  <si>
    <t>برچسب 5</t>
  </si>
  <si>
    <t>برچسب 6</t>
  </si>
  <si>
    <t>برچسب 7</t>
  </si>
  <si>
    <t>برچسب 8</t>
  </si>
  <si>
    <t>دکمۀ 1</t>
  </si>
  <si>
    <t>دکمۀ 2</t>
  </si>
  <si>
    <t>دکمۀ 3</t>
  </si>
  <si>
    <t>دکمۀ 4</t>
  </si>
  <si>
    <t>مرحلۀ قبلی</t>
  </si>
  <si>
    <t>مرحلۀ بعدی</t>
  </si>
  <si>
    <t>1 | محصول</t>
  </si>
  <si>
    <t>انتخاب همه</t>
  </si>
  <si>
    <t>برچسب 9</t>
  </si>
  <si>
    <t>برچسب 10</t>
  </si>
  <si>
    <t>لغو انتخاب‌ها</t>
  </si>
  <si>
    <t>محصول (انتخاب‌شده توسط کاربر)</t>
  </si>
  <si>
    <t>شبکۀ مورد استفادۀ مشترک (انتخاب‌شده توسط کاربر)</t>
  </si>
  <si>
    <t>نوع تکنولوژی شبکۀ مورد استفادۀ مشترک (انتخاب‌شده توسط کاربر)</t>
  </si>
  <si>
    <t>برچسب 11</t>
  </si>
  <si>
    <t>دکمۀ 5</t>
  </si>
  <si>
    <t>کپی در حافظه</t>
  </si>
  <si>
    <t>متن گزارش</t>
  </si>
  <si>
    <t>نود (Node) فناوری اطلاعات (انتخاب‌شده توسط کاربر)</t>
  </si>
  <si>
    <t>سرویس/ خدمت (انتخاب‌شده توسط کاربر)</t>
  </si>
  <si>
    <t>مرحله (انتخاب‌شده توسط کاربر)</t>
  </si>
  <si>
    <t>کانال (انتخاب‌شده توسط کاربر)</t>
  </si>
  <si>
    <t>مشکل (انتخاب‌شده توسط کاربر)</t>
  </si>
  <si>
    <t>، مشکل</t>
  </si>
  <si>
    <t>، مشکلات</t>
  </si>
  <si>
    <t>، بر روی شبکۀ</t>
  </si>
  <si>
    <t>، بر روی شبکه‌های</t>
  </si>
  <si>
    <t>، در سرویس/ خدمت</t>
  </si>
  <si>
    <t>، در سرویس‌ها/ خدمات</t>
  </si>
  <si>
    <t>توضیحات تکمیلی:</t>
  </si>
  <si>
    <t>صفحۀ</t>
  </si>
  <si>
    <t>برچسب 12 (1)</t>
  </si>
  <si>
    <t>برچسب 12 (2)</t>
  </si>
  <si>
    <t>از</t>
  </si>
  <si>
    <t>فعال</t>
  </si>
  <si>
    <t>خرید شارژ</t>
  </si>
  <si>
    <t>غیر فعال</t>
  </si>
  <si>
    <t>شبکۀ مورد استفادۀ مشترک</t>
  </si>
  <si>
    <t>رومینگ ملی همراه اول</t>
  </si>
  <si>
    <t>رومینگ ملی ایرانسل</t>
  </si>
  <si>
    <t>نوع تکنولوژی شبکۀ مورد استفادۀ مشترک</t>
  </si>
  <si>
    <t>نود (Node) فناوری اطلاعات</t>
  </si>
  <si>
    <t>2G</t>
  </si>
  <si>
    <t>3G</t>
  </si>
  <si>
    <t>4G</t>
  </si>
  <si>
    <t>بهسا</t>
  </si>
  <si>
    <t>ZTE</t>
  </si>
  <si>
    <t>برچسب 13</t>
  </si>
  <si>
    <t>برچسب 14</t>
  </si>
  <si>
    <t>تاریخ روز</t>
  </si>
  <si>
    <t>برچسب 15</t>
  </si>
  <si>
    <t>* خواهشمند است هرگونه توضیحات تکمیلی راجع به مشکلات مربوطه را در قسمت فوق، درج نمایید.</t>
  </si>
  <si>
    <t>مجموع تعداد آیتم‌های انتخاب‌شده در صفحۀ اول</t>
  </si>
  <si>
    <t>مجموع تعداد آیتم‌های انتخاب‌شده در صفحۀ سوم</t>
  </si>
  <si>
    <t>مجموع تعداد آیتم‌های انتخاب‌شده در صفحۀ دوم</t>
  </si>
  <si>
    <t>دکمۀ 6</t>
  </si>
  <si>
    <t xml:space="preserve"> با تکنولوژی</t>
  </si>
  <si>
    <t xml:space="preserve"> با تکنولوژی‌های</t>
  </si>
  <si>
    <t xml:space="preserve"> و نود (Node) فناوری اطلاعات</t>
  </si>
  <si>
    <t xml:space="preserve"> و نود (Node) های فناوری اطلاعات</t>
  </si>
  <si>
    <t xml:space="preserve"> و در مرحلۀ</t>
  </si>
  <si>
    <t xml:space="preserve"> و در مراحل</t>
  </si>
  <si>
    <t xml:space="preserve"> از طریق کانال</t>
  </si>
  <si>
    <t xml:space="preserve"> از طریق کانال‌های</t>
  </si>
  <si>
    <t>شبکۀ مورد استفادۀ مشترک (اصلاح‌شده)</t>
  </si>
  <si>
    <t>وضعیت (اصلاح‌شده)</t>
  </si>
  <si>
    <t>نوع تکنولوژی شبکۀ مورد استفادۀ مشترک (اصلاح‌شده)</t>
  </si>
  <si>
    <t>نود (Node) فناوری اطلاعات (اصلاح‌شده)</t>
  </si>
  <si>
    <t>سرویس/ خدمت (اصلاح‌شده)</t>
  </si>
  <si>
    <t>مرحله (اصلاح‌شده)</t>
  </si>
  <si>
    <t>کانال (اصلاح‌شده)</t>
  </si>
  <si>
    <t>مشکل (اصلاح‌شده)</t>
  </si>
  <si>
    <t>توضیحات تکمیلی (درج‌شده توسط کاربر)</t>
  </si>
  <si>
    <t>دکمۀ 7</t>
  </si>
  <si>
    <t xml:space="preserve"> با وضعیت</t>
  </si>
  <si>
    <t xml:space="preserve"> با وضعیت‌های</t>
  </si>
  <si>
    <t>برچسب 50</t>
  </si>
  <si>
    <t>برچسب 100</t>
  </si>
  <si>
    <t>برچسب 101</t>
  </si>
  <si>
    <t>برچسب 102</t>
  </si>
  <si>
    <t>برچسب 103</t>
  </si>
  <si>
    <t>برچسب 104</t>
  </si>
  <si>
    <t>راهنما</t>
  </si>
  <si>
    <t>برچسب 51</t>
  </si>
  <si>
    <t>برچسب 52</t>
  </si>
  <si>
    <t>برچسب 53</t>
  </si>
  <si>
    <t>چنانچه گزینه‌های موجود در یک لیست، در خصوص گزارش شما کاربرد نداشته و یا اطلاعاتی راجع به آن، در دسترس نمی‌باشد، آیتم « - » (خط تیره) را از لیست مربوطه، انتخاب نمایید.</t>
  </si>
  <si>
    <t>این نماد، نشان‌دهندۀ لیست‌های وابسته می‌باشد. لیست‌هایی که گزینه‌های قابل انتخاب در آنها، از گزینه‌های انتخاب‌شده در لیست‌های قبلی، تأثیر پذیرفته و یا گزینه‌های انتخاب‌شده در آنها، بر روی گزینه‌های قابل نمایشِ لیست‌های بعدی، تأثیر می‌گذارد.</t>
  </si>
  <si>
    <t>کاربر:</t>
  </si>
  <si>
    <t>برچسب 16</t>
  </si>
  <si>
    <t>برچسب 150</t>
  </si>
  <si>
    <t>برچسب 151</t>
  </si>
  <si>
    <t>برچسب 152</t>
  </si>
  <si>
    <t>برچسب 153</t>
  </si>
  <si>
    <t>خیر</t>
  </si>
  <si>
    <t>بله</t>
  </si>
  <si>
    <t>سیم‌کارت اعتباری</t>
  </si>
  <si>
    <t>سیم‌کارت دائمی</t>
  </si>
  <si>
    <t>تحویل سیم‌کارت</t>
  </si>
  <si>
    <t xml:space="preserve">ثبت‌نام و خرید </t>
  </si>
  <si>
    <t>، مشاهده شده است.</t>
  </si>
  <si>
    <t>، مشاهده شده‌اند.</t>
  </si>
  <si>
    <t>قطع یک‌طرفه</t>
  </si>
  <si>
    <t>برای محصول</t>
  </si>
  <si>
    <t>شارژ</t>
  </si>
  <si>
    <t>پیام چندرسانه‌ای (MMS)</t>
  </si>
  <si>
    <t>پیام کوتاه (SMS)</t>
  </si>
  <si>
    <t>2G/3G/4G</t>
  </si>
  <si>
    <t>رایتل/رومینگ ملی/رومینگ ملی همراه اول/رومینگ ملی ایرانسل</t>
  </si>
  <si>
    <t>فعال/غیر فعال/قطع یک‌طرفه/قطع دوطرفه</t>
  </si>
  <si>
    <t>فعال/قطع یک‌طرفه/قطع دوطرفه</t>
  </si>
  <si>
    <t>فعال/قطع یک‌طرفه</t>
  </si>
  <si>
    <t>ZTE/بهسا</t>
  </si>
  <si>
    <t>وب‌سایت رایتل</t>
  </si>
  <si>
    <t>نرم‌افزار کاربردی رایتل من (My Rightel)</t>
  </si>
  <si>
    <t>فروشگاه‌های رایتل</t>
  </si>
  <si>
    <t>سامانۀ رایتل من (My Rightel)</t>
  </si>
  <si>
    <t>پُست</t>
  </si>
  <si>
    <t>نمایندگی‌های فروش و خدمات رایتل</t>
  </si>
  <si>
    <t>سامانۀ پاسخگویی خودکار (IVR)</t>
  </si>
  <si>
    <t>سرویس‌دهندگان غیر رایتلی</t>
  </si>
  <si>
    <t>سامانۀ پیام کوتاه 2020</t>
  </si>
  <si>
    <t>دریافت پیغام خطا هنگام پرداخت در درگاه‌های بانکی</t>
  </si>
  <si>
    <t>عدم ثبت پرداختی جهت خرید سیم‌کارت</t>
  </si>
  <si>
    <t>افزایش اعتبار/صورت‌حساب</t>
  </si>
  <si>
    <t>پرداخت صورت‌حساب</t>
  </si>
  <si>
    <t>مشاهده/استعلام صورت‌حساب</t>
  </si>
  <si>
    <t>ورود به سامانۀ رایتل من (My Rightel)</t>
  </si>
  <si>
    <t>ورود به نرم‌افزار کاربردی رایتل من (My Rightel)</t>
  </si>
  <si>
    <t>اجرای کد دستوری</t>
  </si>
  <si>
    <t>نصب نرم‌افزار کاربردی رایتل من (My Rightel)</t>
  </si>
  <si>
    <t>عدم ثبت مبلغ صورت‌حساب علی‌رغم افزایش اعتبار</t>
  </si>
  <si>
    <t>دریافت پیغام خطا هنگام پرداخت از اعتبار</t>
  </si>
  <si>
    <t>قطع و وصلی اینترنت</t>
  </si>
  <si>
    <t>فعال‌سازی سرویس</t>
  </si>
  <si>
    <t>عدم اتصال به اینترنت</t>
  </si>
  <si>
    <t>کندی سرعت اینترنت</t>
  </si>
  <si>
    <t>نوسان سرعت اینترنت</t>
  </si>
  <si>
    <t>دسترسی به برخی وب‌سایت‌ها و نرم‌افزارها</t>
  </si>
  <si>
    <t>عدم دریافت پیام چندرسانه‌ای (MMS)</t>
  </si>
  <si>
    <t>عدم دریافت پیام چندرسانه‌ای (MMS) از یک شماره/پیش‌شمارۀ خاص</t>
  </si>
  <si>
    <t>دریافت ناقص پیام چندرسانه‌ای (MMS)</t>
  </si>
  <si>
    <t>عدم ارسال پیام چندرسانه‌ای (MMS) به یک شماره/پیش‌شمارۀ خاص</t>
  </si>
  <si>
    <t>عدم ارسال پیام چندرسانه‌ای (MMS)</t>
  </si>
  <si>
    <t>عدم دریافت پیام کوتاه (SMS)</t>
  </si>
  <si>
    <t>عدم دریافت پیام کوتاه (SMS) از یک شماره/پیش‌شمارۀ خاص/شمارۀ بین‌المللی</t>
  </si>
  <si>
    <t>تأخیر در دریافت پیام کوتاه (SMS)</t>
  </si>
  <si>
    <t>دریافت ناقص پیام کوتاه (SMS)</t>
  </si>
  <si>
    <t>عدم ارسال پیام کوتاه (SMS)</t>
  </si>
  <si>
    <t>عدم ارسال پیام کوتاه (SMS) به یک شماره/پیش‌شمارۀ خاص/شمارۀ بین‌المللی</t>
  </si>
  <si>
    <t>تأخیر در ارسال پیام کوتاه (SMS)</t>
  </si>
  <si>
    <t>دریافت مکرر پیامک‌های اطلاع‌رسانی شرکت رایتل</t>
  </si>
  <si>
    <t>دریافت پیغام خطا در سامانۀ شاهکار</t>
  </si>
  <si>
    <t>عدم دریافت تماس صوتی</t>
  </si>
  <si>
    <t>عدم دریافت تماس صوتی از یک شماره/پیش‌شمارۀ خاص/شمارۀ بین‌المللی</t>
  </si>
  <si>
    <t>عدم برقراری تماس صوتی</t>
  </si>
  <si>
    <t>عدم برقراری تماس صوتی با یک شماره/پیش‌شمارۀ خاص/شمارۀ بین‌المللی</t>
  </si>
  <si>
    <t>کیفیت صدا</t>
  </si>
  <si>
    <t>قطع تماس صوتی در حین مکالمه</t>
  </si>
  <si>
    <t>محاسبۀ کارکرد سرویس‌های ارزش‌افزوده (خدمات چندرسانه‌ای، خدمات محتوایی پیامکی و ...)</t>
  </si>
  <si>
    <t>عدم اضافه‌شدن مبلغ شارژ به حساب انتقال‌گیرنده، علی‌رغم کسر آن از حساب انتقال‌دهنده</t>
  </si>
  <si>
    <t>استفاده از شارژ مخدوش</t>
  </si>
  <si>
    <t>مسدودشدن حساب کاربری مشترک (مربوط به شارژ)</t>
  </si>
  <si>
    <t>عدم فعال‌سازی شارژ علی‌رغم ثبت پرداختی مربوط به آن در سامانه‌های ارتباط با مشتری</t>
  </si>
  <si>
    <t>قرارداشتن کارت شارژ در یکی از وضعیت‌های Warehouse، Print Enable، on Hold، Generated، Under Process، Suspend</t>
  </si>
  <si>
    <t>عدم چاپ سند سیم‌کارت</t>
  </si>
  <si>
    <t>پرداخت مبلغ سیم‌کارت</t>
  </si>
  <si>
    <t>بروز خطا حین ثبت‌نام سیم‌کارت</t>
  </si>
  <si>
    <t>تکمیل فرم ثبت‌نام</t>
  </si>
  <si>
    <t>وجود نقص در اسناد تحویل‌شده به مشترک</t>
  </si>
  <si>
    <t>تحویل سند اشتباه سیم‌کارت</t>
  </si>
  <si>
    <t>تحویل سیم‌کارت اشتباه</t>
  </si>
  <si>
    <t>تحویل پاکت فاقد سیم‌کارت</t>
  </si>
  <si>
    <t>عدم تحویل به‌موقع سیم‌کارت ثبت‌نام شده</t>
  </si>
  <si>
    <t>تخصیص بارکد پستی اشتباه به مرسولۀ حاوی سیم‌کارت</t>
  </si>
  <si>
    <t>عدم فعال‌سازی سیم‌کارت خریداری‌شده</t>
  </si>
  <si>
    <t>وجود مغایرت بین اطلاعات مندرج در سند و سیم‌کارت دریافتی</t>
  </si>
  <si>
    <t>انجام خدمت در سامانۀ نمایندگان</t>
  </si>
  <si>
    <t>خرید بستۀ پیام کوتاه (SMS)</t>
  </si>
  <si>
    <t>خرید بستۀ تماس صوتی</t>
  </si>
  <si>
    <t>فعال‌سازی سیم‌کارت</t>
  </si>
  <si>
    <t>مشاهده/استعلام شارژ</t>
  </si>
  <si>
    <t>دسترسی به کانال</t>
  </si>
  <si>
    <t>خرید بستۀ اینترنتی</t>
  </si>
  <si>
    <t>سامانۀ ثبت‌نام</t>
  </si>
  <si>
    <t>محصول</t>
  </si>
  <si>
    <t>وضعیت سیم‌کارت (انتخاب‌شده توسط کاربر)</t>
  </si>
  <si>
    <t xml:space="preserve">وضعیت سیم‌کارت </t>
  </si>
  <si>
    <t>وضعیت سیم‌کارت</t>
  </si>
  <si>
    <t>سرویس/ خدمت</t>
  </si>
  <si>
    <t>مرحله</t>
  </si>
  <si>
    <t>مشکل</t>
  </si>
  <si>
    <t>آیا مایل به خروج از برنامه هستید؟</t>
  </si>
  <si>
    <t>در صورت انتخاب گزینۀ «بله»، اطلاعات واردشده، حذف خواهند شد!</t>
  </si>
  <si>
    <t>پس از اجرای فایل برنامه، در صورت مشاهدۀ پیغام ذیل، بر روی گزینۀ «Enable Content» کلیک نمایید.</t>
  </si>
  <si>
    <t>رومینگ بین‌الملل</t>
  </si>
  <si>
    <t>ساعت</t>
  </si>
  <si>
    <t>برچسب 17</t>
  </si>
  <si>
    <t>برچسب 18</t>
  </si>
  <si>
    <t>2 | سرویس/ خدمت</t>
  </si>
  <si>
    <t>3 | مرحله</t>
  </si>
  <si>
    <t>4 | کانال</t>
  </si>
  <si>
    <t>5 | مشکل</t>
  </si>
  <si>
    <t>11 | توضیحات تکمیلی</t>
  </si>
  <si>
    <t>6 | وضعیت سیم‌کارت</t>
  </si>
  <si>
    <t>7 | شبکۀ مورد استفادۀ مشترک</t>
  </si>
  <si>
    <t>8 | نوع تکنولوژی شبکۀ مورد استفادۀ مشترک</t>
  </si>
  <si>
    <t>9 | نود (Node) فناوری اطلاعات</t>
  </si>
  <si>
    <t>دکمۀ 24</t>
  </si>
  <si>
    <t>درباره</t>
  </si>
  <si>
    <t>ارسال به لایۀ بعدی</t>
  </si>
  <si>
    <t>گزارش مشکلات</t>
  </si>
  <si>
    <t>برای محصولات</t>
  </si>
  <si>
    <t>محصول (اصلاح‌شده)</t>
  </si>
  <si>
    <t>شماره موبایل نمونه</t>
  </si>
  <si>
    <t>شماره موبایل نمونه:</t>
  </si>
  <si>
    <t>کلیۀ لیست‌ها، چندانتخابی هستند و محدودیتی در خصوص تعداد گزینه‌های قابل انتخاب در آنها وجود ندارد.</t>
  </si>
  <si>
    <t>برچسب 200</t>
  </si>
  <si>
    <t>اطلاعات با موفقیت، به لایۀ پشتیبانی بعدی ارسال گردید.</t>
  </si>
  <si>
    <t>تاریخ</t>
  </si>
  <si>
    <t>کاربر</t>
  </si>
  <si>
    <t>دکمۀ 25</t>
  </si>
  <si>
    <t>برچسب 250</t>
  </si>
  <si>
    <t>برچسب 300</t>
  </si>
  <si>
    <t>دکمۀ 26</t>
  </si>
  <si>
    <t>دریافت فایل</t>
  </si>
  <si>
    <t>رمز عبور واردشده، صحیح نمی‌باشد. لطفاً رمز عبور صحیح را وارد نمایید.</t>
  </si>
  <si>
    <t>برچسب 301</t>
  </si>
  <si>
    <t>لطفاً کلمۀ عبور جهت دریافت فایل گزارش را وارد نمایید:</t>
  </si>
  <si>
    <t>رمز عبور، وارد نشده است.</t>
  </si>
  <si>
    <t>برچسب 350</t>
  </si>
  <si>
    <t>فایل گزارش با موفقیت در مسیر انتخاب‌شده، ذخیره گردید.</t>
  </si>
  <si>
    <t>عنوان فایل</t>
  </si>
  <si>
    <t>عدم امکان ارتباط با Server</t>
  </si>
  <si>
    <t>گزارش مشکلات مشترکین</t>
  </si>
  <si>
    <t>ایجاد گزارش جدید</t>
  </si>
  <si>
    <t>توضیحات تکمیلی</t>
  </si>
  <si>
    <t>استفاده از پیام چندرسانه‌ای (MMS)</t>
  </si>
  <si>
    <t>استفاده از اینترنت</t>
  </si>
  <si>
    <t>استفاده از تماس صوتی</t>
  </si>
  <si>
    <t>استفاده از پیام کوتاه (SMS)</t>
  </si>
  <si>
    <t>* در خصوص مشکلاتی که اطلاع از محل بروز آنها به منظور بررسی و رفع‌شان، حائز اهمیت می‌باشد، نام منطقۀ جغرافیایی مورد نظر را در توضیحات بالا، درج کنید.</t>
  </si>
  <si>
    <t>مشاهده/استعلام بستۀ اینترنت</t>
  </si>
  <si>
    <t>مشاهده/استعلام بستۀ تماس صوتی</t>
  </si>
  <si>
    <t>مشاهده/استعلام بستۀ پیام کوتاه (SMS)</t>
  </si>
  <si>
    <t>دکمۀ 27</t>
  </si>
  <si>
    <t>دکمۀ 28</t>
  </si>
  <si>
    <t>&lt;&lt; افزودن شماره</t>
  </si>
  <si>
    <t>حذف شماره</t>
  </si>
  <si>
    <t>مجموع تعداد آیتم‌های واردشده در لیست شماره (های) موبایل نمونه</t>
  </si>
  <si>
    <t>برچسب 400</t>
  </si>
  <si>
    <t>این شماره موبایل، پیش‌تر ثبت شده است.</t>
  </si>
  <si>
    <t>10 | شماره موبایل (های) نمونه (جهت بررسی دقیق‌تر مشکل توسط لایه‌های بعدی پشتیبانی)</t>
  </si>
  <si>
    <t>شماره موبایل‌های نمونه:</t>
  </si>
  <si>
    <t>شماره موبایل (های) نمونه</t>
  </si>
  <si>
    <t>* تاریخ و ساعت وقوع مشکل</t>
  </si>
  <si>
    <t>* شماره کارت بانکی مورد استفادۀ مشترک</t>
  </si>
  <si>
    <t>* نام سرویس‌دهنده (سرویس‌دهندگان) غیر رایتلی و کد (های) دستوری مربوطه (در صورت وجود)</t>
  </si>
  <si>
    <t>* کد (های) دستوری مورد استفادۀ مشترک، جهت خرید بسته</t>
  </si>
  <si>
    <t>* شماره سریال کارت شارژ</t>
  </si>
  <si>
    <t>* شماره رمز (PIN) کارت شارژ (شماره‌های قابل رؤیت)</t>
  </si>
  <si>
    <t>برچسب 20</t>
  </si>
  <si>
    <t>سایر اطلاعات مورد نیاز، جهت درج در این قسمت:</t>
  </si>
  <si>
    <t>عدم عودت وجه</t>
  </si>
  <si>
    <t>استفادۀ بیش از سقف اعتبار</t>
  </si>
  <si>
    <t>محاسبۀ اشتباه کارکرد سیم‌کارت</t>
  </si>
  <si>
    <t>قطع یک‌طرفه/قطع دوطرفه</t>
  </si>
  <si>
    <t xml:space="preserve"> عدم فعال‌سازی سیم‌کارت پس از پرداخت صورت‌حساب</t>
  </si>
  <si>
    <t>عدم امکان استفاده از اعتبار و بسته‌های فعال</t>
  </si>
  <si>
    <t>مسدودی سیم‌کارت علیرغم داشتن اعتبار</t>
  </si>
  <si>
    <t>محاسبۀ اولویت ترازهای مالی</t>
  </si>
  <si>
    <t>عدم دریافت پیامک‌های اطلاع‌رسانی خودکار فعال‌سازی، پایان حجم و اتمام زمان بسته‌ها</t>
  </si>
  <si>
    <t>دریافت پیامک‌های تبلیغاتی علیرغم لغو پیامک‌های مذکور در سامانۀ 800</t>
  </si>
  <si>
    <t>عدم دریافت پیامک‌های اطلاع‌رسانی رسیدن به سقف اعتبار</t>
  </si>
  <si>
    <t xml:space="preserve">عدم دریافت پیامک‌های اطلاع‌رسانی دوره‌ای صورت‌حساب </t>
  </si>
  <si>
    <t>عدم دریافت پیامک‌های خوش‌آمدگویی در زمان قرارگیری در رومینگ بین‌الملل</t>
  </si>
  <si>
    <t>درج اطلاعات ناصحیح در صورت‌حساب</t>
  </si>
  <si>
    <t>بانک‌های طرف قرارداد</t>
  </si>
  <si>
    <t>عدم مشاهدۀ صورت‌حساب</t>
  </si>
  <si>
    <t xml:space="preserve">خرید شارژ </t>
  </si>
  <si>
    <t>عدم دریافت پیامک‌های اطلاع‌رسانی در خصوص شارژ</t>
  </si>
  <si>
    <t>عدم دریافت رمز (PIN) شارژ خریداری‌شده</t>
  </si>
  <si>
    <t>عدم دریافت رمز (PIN) شارژ خریداری‌شده در ارسال مجدد</t>
  </si>
  <si>
    <t xml:space="preserve"> عدم خروج از مسدودی موقت 24 ساعته جهت انجام شارژ</t>
  </si>
  <si>
    <t>یکسان‌بودن سریال و رمز (PIN) کارت شارژ</t>
  </si>
  <si>
    <t>عدم انجام شارژ به دلیل کارت شارژ استفاده‌شده</t>
  </si>
  <si>
    <t>انتقال اعتبار</t>
  </si>
  <si>
    <t>عدم امکان انجام انتقال اعتبار</t>
  </si>
  <si>
    <t>ریست‌نشدن رمز انتقال اعتبار</t>
  </si>
  <si>
    <t>Amir</t>
  </si>
  <si>
    <t>طراح و برنامه‌نویس: امیر نورزاده</t>
  </si>
  <si>
    <t>شماره تلفن همراه: 09209204907</t>
  </si>
  <si>
    <t>1400-11-28 - 2241 - گزارش مشکلات مشترکین</t>
  </si>
  <si>
    <t>نسخۀ 1.0.0</t>
  </si>
  <si>
    <t>این برنامه، با هدف افزایش سرعت و دقت در تهیه و ارسال گزارش‌های مربوط به مشکلات مشترکین به لایه‌های پشتیبانی بعدی، تهیه شده است. خواهشمند است هرگونه نظرات و مشکلات احتمالی در حین استفاده از برنامه را از طُرق ذیل، با ما در میان بگذارید: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</si>
</sst>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hh:mm"/>
    <numFmt numFmtId="165" formatCode="[$]yyyy/mm/dd" x16r2:formatCode16="[$-fa-[$-fa-ir,16]yyyy/mm/dd"/>
    <numFmt numFmtId="166" formatCode="[$]yyyy\-mm\-dd" x16r2:formatCode16="[$-fa-[$-fa-ir,16]yyyy\-mm\-dd"/>
    <numFmt numFmtId="167" formatCode="mm"/>
    <numFmt numFmtId="168" formatCode="hh"/>
  </numFmts>
  <fonts count="5" x14ac:knownFonts="1">
    <font>
      <sz val="11"/>
      <color theme="1"/>
      <name val="Calibri"/>
      <family val="2"/>
      <scheme val="minor"/>
    </font>
    <font>
      <sz val="12"/>
      <color theme="1"/>
      <name val="B Nazanin"/>
      <charset val="178"/>
    </font>
    <font>
      <sz val="14"/>
      <color theme="1"/>
      <name val="B Nazanin"/>
      <charset val="178"/>
    </font>
    <font>
      <b/>
      <sz val="16"/>
      <color theme="0"/>
      <name val="B Nazanin"/>
      <charset val="178"/>
    </font>
    <font>
      <b/>
      <sz val="12"/>
      <color theme="1"/>
      <name val="B Nazanin"/>
      <charset val="178"/>
    </font>
  </fonts>
  <fills count="3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Alignment="1">
      <alignment horizontal="center" vertical="center" wrapText="1" readingOrder="2"/>
    </xf>
    <xf numFmtId="0" fontId="1" fillId="0" borderId="1" xfId="0" applyFont="1" applyBorder="1" applyAlignment="1">
      <alignment horizontal="center" vertical="center" wrapText="1" readingOrder="2"/>
    </xf>
    <xf numFmtId="0" fontId="2" fillId="0" borderId="0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 readingOrder="2"/>
    </xf>
    <xf numFmtId="0" fontId="1" fillId="0" borderId="0" xfId="0" applyFont="1" applyBorder="1" applyAlignment="1">
      <alignment horizontal="center" vertical="center" wrapText="1" readingOrder="2"/>
    </xf>
    <xf numFmtId="0" fontId="3" fillId="2" borderId="1" xfId="0" applyFont="1" applyFill="1" applyBorder="1" applyAlignment="1">
      <alignment horizontal="center" vertical="center" wrapText="1" readingOrder="2"/>
    </xf>
    <xf numFmtId="0" fontId="2" fillId="0" borderId="0" xfId="0" applyFont="1" applyFill="1" applyBorder="1" applyAlignment="1">
      <alignment horizontal="center" vertical="center" wrapText="1" readingOrder="2"/>
    </xf>
    <xf numFmtId="0" fontId="2" fillId="0" borderId="1" xfId="0" applyFont="1" applyFill="1" applyBorder="1" applyAlignment="1">
      <alignment horizontal="center" vertical="center" wrapText="1" readingOrder="1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 wrapText="1" readingOrder="2"/>
    </xf>
    <xf numFmtId="49" fontId="1" fillId="0" borderId="1" xfId="0" applyNumberFormat="1" applyFont="1" applyBorder="1" applyAlignment="1">
      <alignment horizontal="center" vertical="center" wrapText="1" readingOrder="2"/>
    </xf>
    <xf numFmtId="166" fontId="1" fillId="0" borderId="0" xfId="0" applyNumberFormat="1" applyFont="1" applyAlignment="1">
      <alignment horizontal="center" vertical="center" wrapText="1" readingOrder="2"/>
    </xf>
    <xf numFmtId="167" fontId="1" fillId="0" borderId="0" xfId="0" applyNumberFormat="1" applyFont="1" applyAlignment="1">
      <alignment horizontal="center" vertical="center" wrapText="1" readingOrder="2"/>
    </xf>
    <xf numFmtId="168" fontId="1" fillId="0" borderId="0" xfId="0" applyNumberFormat="1" applyFont="1" applyAlignment="1">
      <alignment horizontal="center" vertical="center" wrapText="1" readingOrder="2"/>
    </xf>
    <xf numFmtId="165" fontId="1" fillId="0" borderId="1" xfId="0" applyNumberFormat="1" applyFont="1" applyBorder="1" applyAlignment="1">
      <alignment horizontal="center" vertical="center" wrapText="1" readingOrder="2"/>
    </xf>
    <xf numFmtId="0" fontId="1" fillId="0" borderId="1" xfId="0" applyNumberFormat="1" applyFont="1" applyBorder="1" applyAlignment="1">
      <alignment horizontal="center" vertical="center" wrapText="1" readingOrder="2"/>
    </xf>
    <xf numFmtId="166" fontId="1" fillId="0" borderId="1" xfId="0" applyNumberFormat="1" applyFont="1" applyBorder="1" applyAlignment="1">
      <alignment horizontal="center" vertical="center" wrapText="1" readingOrder="2"/>
    </xf>
    <xf numFmtId="0" fontId="0" fillId="0" borderId="0" xfId="0" applyAlignment="1">
      <alignment wrapText="1" readingOrder="2"/>
    </xf>
    <xf numFmtId="0" fontId="1" fillId="0" borderId="2" xfId="0" applyFont="1" applyBorder="1" applyAlignment="1">
      <alignment horizontal="center" vertical="center" wrapText="1" readingOrder="2"/>
    </xf>
    <xf numFmtId="0" fontId="1" fillId="0" borderId="3" xfId="0" applyFont="1" applyBorder="1" applyAlignment="1">
      <alignment horizontal="center" vertical="center" wrapText="1" readingOrder="2"/>
    </xf>
    <xf numFmtId="0" fontId="1" fillId="0" borderId="4" xfId="0" applyFont="1" applyBorder="1" applyAlignment="1">
      <alignment horizontal="center" vertical="center" wrapText="1" readingOrder="2"/>
    </xf>
    <xf numFmtId="0" fontId="1" fillId="0" borderId="5" xfId="0" applyFont="1" applyBorder="1" applyAlignment="1">
      <alignment horizontal="center" vertical="center" wrapText="1" readingOrder="2"/>
    </xf>
    <xf numFmtId="0" fontId="1" fillId="0" borderId="7" xfId="0" applyFont="1" applyBorder="1" applyAlignment="1">
      <alignment horizontal="center" vertical="center" wrapText="1" readingOrder="2"/>
    </xf>
    <xf numFmtId="0" fontId="1" fillId="0" borderId="8" xfId="0" applyFont="1" applyBorder="1" applyAlignment="1">
      <alignment horizontal="center" vertical="center" wrapText="1" readingOrder="2"/>
    </xf>
    <xf numFmtId="0" fontId="1" fillId="0" borderId="10" xfId="0" applyFont="1" applyBorder="1" applyAlignment="1">
      <alignment horizontal="center" vertical="center" wrapText="1" readingOrder="2"/>
    </xf>
    <xf numFmtId="0" fontId="1" fillId="0" borderId="12" xfId="0" applyFont="1" applyBorder="1" applyAlignment="1">
      <alignment horizontal="center" vertical="center" wrapText="1" readingOrder="2"/>
    </xf>
    <xf numFmtId="0" fontId="1" fillId="0" borderId="13" xfId="0" applyFont="1" applyBorder="1" applyAlignment="1">
      <alignment horizontal="center" vertical="center" wrapText="1" readingOrder="2"/>
    </xf>
    <xf numFmtId="0" fontId="1" fillId="0" borderId="5" xfId="0" applyFont="1" applyFill="1" applyBorder="1" applyAlignment="1">
      <alignment horizontal="center" vertical="center" wrapText="1" readingOrder="2"/>
    </xf>
    <xf numFmtId="0" fontId="1" fillId="0" borderId="16" xfId="0" applyFont="1" applyBorder="1" applyAlignment="1">
      <alignment horizontal="center" vertical="center" wrapText="1" readingOrder="2"/>
    </xf>
    <xf numFmtId="0" fontId="1" fillId="0" borderId="17" xfId="0" applyFont="1" applyBorder="1" applyAlignment="1">
      <alignment horizontal="center" vertical="center" wrapText="1" readingOrder="2"/>
    </xf>
    <xf numFmtId="0" fontId="1" fillId="0" borderId="19" xfId="0" applyFont="1" applyBorder="1" applyAlignment="1">
      <alignment horizontal="center" vertical="center" wrapText="1" readingOrder="2"/>
    </xf>
    <xf numFmtId="49" fontId="1" fillId="0" borderId="6" xfId="0" applyNumberFormat="1" applyFont="1" applyBorder="1" applyAlignment="1">
      <alignment horizontal="center" vertical="center" wrapText="1" readingOrder="2"/>
    </xf>
    <xf numFmtId="49" fontId="1" fillId="0" borderId="9" xfId="0" applyNumberFormat="1" applyFont="1" applyBorder="1" applyAlignment="1">
      <alignment horizontal="center" vertical="center" wrapText="1" readingOrder="2"/>
    </xf>
    <xf numFmtId="49" fontId="1" fillId="0" borderId="15" xfId="0" applyNumberFormat="1" applyFont="1" applyBorder="1" applyAlignment="1">
      <alignment horizontal="center" vertical="center" wrapText="1" readingOrder="2"/>
    </xf>
    <xf numFmtId="49" fontId="1" fillId="0" borderId="11" xfId="0" applyNumberFormat="1" applyFont="1" applyBorder="1" applyAlignment="1">
      <alignment horizontal="center" vertical="center" wrapText="1" readingOrder="2"/>
    </xf>
    <xf numFmtId="49" fontId="1" fillId="0" borderId="14" xfId="0" applyNumberFormat="1" applyFont="1" applyBorder="1" applyAlignment="1">
      <alignment horizontal="center" vertical="center" wrapText="1" readingOrder="2"/>
    </xf>
    <xf numFmtId="49" fontId="1" fillId="0" borderId="18" xfId="0" applyNumberFormat="1" applyFont="1" applyBorder="1" applyAlignment="1">
      <alignment horizontal="center" vertical="center" wrapText="1" readingOrder="2"/>
    </xf>
    <xf numFmtId="49" fontId="1" fillId="0" borderId="8" xfId="0" applyNumberFormat="1" applyFont="1" applyBorder="1" applyAlignment="1">
      <alignment horizontal="center" vertical="center" wrapText="1" readingOrder="2"/>
    </xf>
    <xf numFmtId="49" fontId="1" fillId="0" borderId="3" xfId="0" applyNumberFormat="1" applyFont="1" applyBorder="1" applyAlignment="1">
      <alignment horizontal="center" vertical="center" wrapText="1" readingOrder="2"/>
    </xf>
    <xf numFmtId="0" fontId="1" fillId="0" borderId="1" xfId="0" applyFont="1" applyBorder="1" applyAlignment="1">
      <alignment horizontal="center" vertical="center" wrapText="1" readingOrder="2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447675</xdr:colOff>
      <xdr:row>2</xdr:row>
      <xdr:rowOff>200025</xdr:rowOff>
    </xdr:from>
    <xdr:to>
      <xdr:col>0</xdr:col>
      <xdr:colOff>5057199</xdr:colOff>
      <xdr:row>10</xdr:row>
      <xdr:rowOff>237882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0176" y="704850"/>
          <a:ext cx="4609524" cy="1942857"/>
        </a:xfrm>
        <a:prstGeom prst="rect">
          <a:avLst/>
        </a:prstGeom>
        <a:ln w="19050">
          <a:solidFill>
            <a:schemeClr val="accent1"/>
          </a:solidFill>
          <a:prstDash val="dash"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78</xdr:col>
      <xdr:colOff>0</xdr:colOff>
      <xdr:row>1</xdr:row>
      <xdr:rowOff>0</xdr:rowOff>
    </xdr:from>
    <xdr:to>
      <xdr:col>85</xdr:col>
      <xdr:colOff>120327</xdr:colOff>
      <xdr:row>3</xdr:row>
      <xdr:rowOff>101277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5750073" y="238125"/>
          <a:ext cx="4387527" cy="4387527"/>
        </a:xfrm>
        <a:prstGeom prst="rect">
          <a:avLst/>
        </a:prstGeom>
      </xdr:spPr>
    </xdr:pic>
    <xdr:clientData/>
  </xdr:twoCellAnchor>
  <xdr:twoCellAnchor editAs="oneCell">
    <xdr:from>
      <xdr:col>78</xdr:col>
      <xdr:colOff>0</xdr:colOff>
      <xdr:row>15</xdr:row>
      <xdr:rowOff>0</xdr:rowOff>
    </xdr:from>
    <xdr:to>
      <xdr:col>85</xdr:col>
      <xdr:colOff>120327</xdr:colOff>
      <xdr:row>33</xdr:row>
      <xdr:rowOff>101277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5750073" y="4762500"/>
          <a:ext cx="4387527" cy="4387527"/>
        </a:xfrm>
        <a:prstGeom prst="rect">
          <a:avLst/>
        </a:prstGeom>
      </xdr:spPr>
    </xdr:pic>
    <xdr:clientData/>
  </xdr:twoCellAnchor>
  <xdr:twoCellAnchor editAs="oneCell">
    <xdr:from>
      <xdr:col>78</xdr:col>
      <xdr:colOff>0</xdr:colOff>
      <xdr:row>35</xdr:row>
      <xdr:rowOff>0</xdr:rowOff>
    </xdr:from>
    <xdr:to>
      <xdr:col>82</xdr:col>
      <xdr:colOff>101282</xdr:colOff>
      <xdr:row>45</xdr:row>
      <xdr:rowOff>158432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6789543" y="12858750"/>
          <a:ext cx="2539682" cy="2539682"/>
        </a:xfrm>
        <a:prstGeom prst="rect">
          <a:avLst/>
        </a:prstGeom>
      </xdr:spPr>
    </xdr:pic>
    <xdr:clientData/>
  </xdr:twoCellAnchor>
  <xdr:twoCellAnchor editAs="oneCell">
    <xdr:from>
      <xdr:col>78</xdr:col>
      <xdr:colOff>0</xdr:colOff>
      <xdr:row>47</xdr:row>
      <xdr:rowOff>0</xdr:rowOff>
    </xdr:from>
    <xdr:to>
      <xdr:col>82</xdr:col>
      <xdr:colOff>371474</xdr:colOff>
      <xdr:row>58</xdr:row>
      <xdr:rowOff>190501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756" t="23753" r="23560" b="23562"/>
        <a:stretch/>
      </xdr:blipFill>
      <xdr:spPr>
        <a:xfrm>
          <a:off x="9951148501" y="12620625"/>
          <a:ext cx="2809874" cy="2809876"/>
        </a:xfrm>
        <a:prstGeom prst="rect">
          <a:avLst/>
        </a:prstGeom>
      </xdr:spPr>
    </xdr:pic>
    <xdr:clientData/>
  </xdr:twoCellAnchor>
  <xdr:twoCellAnchor editAs="oneCell">
    <xdr:from>
      <xdr:col>78</xdr:col>
      <xdr:colOff>0</xdr:colOff>
      <xdr:row>60</xdr:row>
      <xdr:rowOff>0</xdr:rowOff>
    </xdr:from>
    <xdr:to>
      <xdr:col>83</xdr:col>
      <xdr:colOff>0</xdr:colOff>
      <xdr:row>72</xdr:row>
      <xdr:rowOff>190500</xdr:rowOff>
    </xdr:to>
    <xdr:pic>
      <xdr:nvPicPr>
        <xdr:cNvPr id="9" name="Picture 8"/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554" t="18749" r="18945" b="18751"/>
        <a:stretch/>
      </xdr:blipFill>
      <xdr:spPr>
        <a:xfrm>
          <a:off x="9953996475" y="15716250"/>
          <a:ext cx="3048000" cy="3048000"/>
        </a:xfrm>
        <a:prstGeom prst="rect">
          <a:avLst/>
        </a:prstGeom>
      </xdr:spPr>
    </xdr:pic>
    <xdr:clientData/>
  </xdr:twoCellAnchor>
  <xdr:twoCellAnchor editAs="oneCell">
    <xdr:from>
      <xdr:col>78</xdr:col>
      <xdr:colOff>0</xdr:colOff>
      <xdr:row>74</xdr:row>
      <xdr:rowOff>0</xdr:rowOff>
    </xdr:from>
    <xdr:to>
      <xdr:col>83</xdr:col>
      <xdr:colOff>152400</xdr:colOff>
      <xdr:row>87</xdr:row>
      <xdr:rowOff>104774</xdr:rowOff>
    </xdr:to>
    <xdr:pic>
      <xdr:nvPicPr>
        <xdr:cNvPr id="13" name="Picture 12"/>
        <xdr:cNvPicPr>
          <a:picLocks noChangeAspect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000" t="9524" r="10000" b="10476"/>
        <a:stretch/>
      </xdr:blipFill>
      <xdr:spPr>
        <a:xfrm>
          <a:off x="9953844075" y="19050000"/>
          <a:ext cx="3200400" cy="3200399"/>
        </a:xfrm>
        <a:prstGeom prst="rect">
          <a:avLst/>
        </a:prstGeom>
      </xdr:spPr>
    </xdr:pic>
    <xdr:clientData/>
  </xdr:twoCellAnchor>
  <xdr:twoCellAnchor editAs="oneCell">
    <xdr:from>
      <xdr:col>78</xdr:col>
      <xdr:colOff>0</xdr:colOff>
      <xdr:row>89</xdr:row>
      <xdr:rowOff>0</xdr:rowOff>
    </xdr:from>
    <xdr:to>
      <xdr:col>87</xdr:col>
      <xdr:colOff>457200</xdr:colOff>
      <xdr:row>113</xdr:row>
      <xdr:rowOff>228600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51872400" y="22621875"/>
          <a:ext cx="5943600" cy="59436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3"/>
  <sheetViews>
    <sheetView showGridLines="0" showRowColHeaders="0" rightToLeft="1" tabSelected="1" workbookViewId="0">
      <selection activeCell="A13" sqref="A13"/>
    </sheetView>
  </sheetViews>
  <sheetFormatPr defaultColWidth="0" defaultRowHeight="18.600000000000001" zeroHeight="1" x14ac:dyDescent="0.3"/>
  <cols>
    <col min="1" max="1" width="85" style="10" customWidth="1"/>
    <col min="2" max="2" width="0" style="10" hidden="1" customWidth="1"/>
    <col min="3" max="16384" width="9.109375" style="10" hidden="1"/>
  </cols>
  <sheetData>
    <row r="1" spans="1:1" x14ac:dyDescent="0.3"/>
    <row r="2" spans="1:1" ht="20.399999999999999" x14ac:dyDescent="0.3">
      <c r="A2" s="11" t="s">
        <v>219</v>
      </c>
    </row>
    <row r="3" spans="1:1" x14ac:dyDescent="0.3"/>
    <row r="4" spans="1:1" x14ac:dyDescent="0.3"/>
    <row r="5" spans="1:1" x14ac:dyDescent="0.3"/>
    <row r="6" spans="1:1" x14ac:dyDescent="0.3"/>
    <row r="7" spans="1:1" x14ac:dyDescent="0.3"/>
    <row r="8" spans="1:1" x14ac:dyDescent="0.3"/>
    <row r="9" spans="1:1" x14ac:dyDescent="0.3"/>
    <row r="10" spans="1:1" x14ac:dyDescent="0.3"/>
    <row r="11" spans="1:1" x14ac:dyDescent="0.3"/>
    <row r="12" spans="1:1" x14ac:dyDescent="0.3"/>
    <row r="13" spans="1:1" x14ac:dyDescent="0.3"/>
  </sheetData>
  <sheetProtection algorithmName="SHA-512" hashValue="n9YixtNV/FLKWZntdGr8p7kj7k9JKtcnW2UvLHFQ0GYJsxGNUzdFLclPHFM0e8qvW65eokXXHQCy06wJVibUMQ==" saltValue="wKHEyZIDaomJpb7+UzECkQ==" spinCount="100000" sheet="1" objects="1" scenarios="1" selectLockedCells="1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D111"/>
  <sheetViews>
    <sheetView rightToLeft="1" zoomScale="70" zoomScaleNormal="70" workbookViewId="0"/>
  </sheetViews>
  <sheetFormatPr defaultColWidth="9.109375" defaultRowHeight="18.600000000000001" x14ac:dyDescent="0.3"/>
  <cols>
    <col min="1" max="11" width="20.6640625" style="1" customWidth="1"/>
    <col min="12" max="12" width="100.6640625" style="1" customWidth="1"/>
    <col min="13" max="13" width="20.6640625" style="1" customWidth="1"/>
    <col min="14" max="25" width="9.109375" style="1" customWidth="1"/>
    <col min="26" max="32" width="20.6640625" style="1" customWidth="1"/>
    <col min="33" max="51" width="9.109375" style="1" customWidth="1"/>
    <col min="52" max="52" width="9.109375" style="1"/>
    <col min="53" max="67" width="20.6640625" style="1" customWidth="1"/>
    <col min="68" max="78" width="9.109375" style="1"/>
    <col min="79" max="82" width="20.6640625" style="1" customWidth="1"/>
    <col min="83" max="105" width="9.109375" style="1"/>
    <col min="106" max="111" width="20.6640625" style="1" customWidth="1"/>
    <col min="112" max="130" width="9.109375" style="1"/>
    <col min="131" max="131" width="20.6640625" style="1" customWidth="1"/>
    <col min="132" max="132" width="11.88671875" style="1" bestFit="1" customWidth="1"/>
    <col min="133" max="133" width="16.5546875" style="1" bestFit="1" customWidth="1"/>
    <col min="134" max="16384" width="9.109375" style="1"/>
  </cols>
  <sheetData>
    <row r="1" spans="1:134" ht="55.8" x14ac:dyDescent="0.3">
      <c r="A1" s="2" t="s">
        <v>210</v>
      </c>
      <c r="B1" s="2" t="s">
        <v>36</v>
      </c>
      <c r="C1" s="2" t="s">
        <v>211</v>
      </c>
      <c r="D1" s="2" t="s">
        <v>37</v>
      </c>
      <c r="E1" s="2" t="s">
        <v>38</v>
      </c>
      <c r="F1" s="2" t="s">
        <v>43</v>
      </c>
      <c r="G1" s="2" t="s">
        <v>44</v>
      </c>
      <c r="H1" s="2" t="s">
        <v>45</v>
      </c>
      <c r="I1" s="2" t="s">
        <v>46</v>
      </c>
      <c r="J1" s="2" t="s">
        <v>47</v>
      </c>
      <c r="K1" s="2" t="s">
        <v>97</v>
      </c>
      <c r="L1" s="2" t="s">
        <v>42</v>
      </c>
      <c r="M1" s="2" t="s">
        <v>279</v>
      </c>
      <c r="Z1" s="2"/>
      <c r="AA1" s="2" t="s">
        <v>212</v>
      </c>
      <c r="AB1" s="2" t="s">
        <v>62</v>
      </c>
      <c r="AC1" s="2" t="s">
        <v>65</v>
      </c>
      <c r="AD1" s="2" t="s">
        <v>66</v>
      </c>
      <c r="AE1" s="2" t="s">
        <v>74</v>
      </c>
      <c r="AF1" s="2" t="s">
        <v>221</v>
      </c>
      <c r="BA1" s="2" t="s">
        <v>238</v>
      </c>
      <c r="BB1" s="2" t="s">
        <v>90</v>
      </c>
      <c r="BC1" s="2" t="s">
        <v>89</v>
      </c>
      <c r="BD1" s="2" t="s">
        <v>91</v>
      </c>
      <c r="BE1" s="2" t="s">
        <v>92</v>
      </c>
      <c r="BF1" s="2" t="s">
        <v>93</v>
      </c>
      <c r="BG1" s="2" t="s">
        <v>94</v>
      </c>
      <c r="BH1" s="2" t="s">
        <v>95</v>
      </c>
      <c r="BI1" s="2" t="s">
        <v>96</v>
      </c>
      <c r="BJ1" s="2" t="s">
        <v>279</v>
      </c>
      <c r="BK1" s="6"/>
      <c r="BL1" s="42" t="s">
        <v>75</v>
      </c>
      <c r="BM1" s="42"/>
      <c r="BN1" s="42"/>
      <c r="BO1" s="42"/>
      <c r="CA1" s="2" t="s">
        <v>77</v>
      </c>
      <c r="CB1" s="2" t="s">
        <v>79</v>
      </c>
      <c r="CC1" s="2" t="s">
        <v>78</v>
      </c>
      <c r="CD1" s="2" t="s">
        <v>274</v>
      </c>
      <c r="DA1" s="20"/>
      <c r="DB1" s="2" t="s">
        <v>244</v>
      </c>
      <c r="DC1" s="2" t="s">
        <v>221</v>
      </c>
      <c r="DD1" s="2" t="s">
        <v>245</v>
      </c>
      <c r="DE1" s="2" t="s">
        <v>42</v>
      </c>
      <c r="DF1" s="2" t="s">
        <v>261</v>
      </c>
      <c r="DG1" s="2" t="s">
        <v>239</v>
      </c>
      <c r="EA1" s="2" t="s">
        <v>257</v>
      </c>
    </row>
    <row r="2" spans="1:134" x14ac:dyDescent="0.3">
      <c r="A2" s="2" t="s">
        <v>3</v>
      </c>
      <c r="B2" s="2">
        <f>COUNTA(B12:B100)</f>
        <v>0</v>
      </c>
      <c r="C2" s="2">
        <f t="shared" ref="C2:M2" si="0">COUNTA(C12:C100)</f>
        <v>0</v>
      </c>
      <c r="D2" s="2">
        <f t="shared" si="0"/>
        <v>0</v>
      </c>
      <c r="E2" s="2">
        <f t="shared" si="0"/>
        <v>0</v>
      </c>
      <c r="F2" s="2">
        <f t="shared" si="0"/>
        <v>0</v>
      </c>
      <c r="G2" s="2">
        <f>COUNTA(G12:G100)</f>
        <v>0</v>
      </c>
      <c r="H2" s="2">
        <f t="shared" si="0"/>
        <v>0</v>
      </c>
      <c r="I2" s="2">
        <f t="shared" si="0"/>
        <v>0</v>
      </c>
      <c r="J2" s="2">
        <f t="shared" si="0"/>
        <v>0</v>
      </c>
      <c r="K2" s="2">
        <f t="shared" si="0"/>
        <v>0</v>
      </c>
      <c r="L2" s="2" t="s">
        <v>3</v>
      </c>
      <c r="M2" s="2">
        <f t="shared" si="0"/>
        <v>0</v>
      </c>
      <c r="Z2" s="2"/>
      <c r="AA2" s="2" t="s">
        <v>3</v>
      </c>
      <c r="AB2" s="2" t="s">
        <v>3</v>
      </c>
      <c r="AC2" s="2" t="s">
        <v>3</v>
      </c>
      <c r="AD2" s="2" t="s">
        <v>3</v>
      </c>
      <c r="AE2" s="2">
        <f ca="1">TODAY()</f>
        <v>44728</v>
      </c>
      <c r="AF2" s="2" t="s">
        <v>3</v>
      </c>
      <c r="BA2" s="2">
        <f>(COUNTA(BA12:BA100)-COUNTBLANK(BA12:BA100))</f>
        <v>0</v>
      </c>
      <c r="BB2" s="2">
        <f>(COUNTA(BB12:BB100)-COUNTBLANK(BB12:BB100))</f>
        <v>0</v>
      </c>
      <c r="BC2" s="2">
        <f t="shared" ref="BC2:BJ2" si="1">(COUNTA(BC12:BC100)-COUNTBLANK(BC12:BC100))</f>
        <v>0</v>
      </c>
      <c r="BD2" s="2">
        <f t="shared" si="1"/>
        <v>0</v>
      </c>
      <c r="BE2" s="2">
        <f t="shared" si="1"/>
        <v>0</v>
      </c>
      <c r="BF2" s="2">
        <f t="shared" si="1"/>
        <v>0</v>
      </c>
      <c r="BG2" s="2">
        <f t="shared" si="1"/>
        <v>0</v>
      </c>
      <c r="BH2" s="2">
        <f t="shared" si="1"/>
        <v>0</v>
      </c>
      <c r="BI2" s="2">
        <f t="shared" si="1"/>
        <v>0</v>
      </c>
      <c r="BJ2" s="2">
        <f t="shared" si="1"/>
        <v>0</v>
      </c>
      <c r="BK2" s="6"/>
      <c r="BL2" s="2" t="s">
        <v>3</v>
      </c>
      <c r="BM2" s="2" t="s">
        <v>3</v>
      </c>
      <c r="BN2" s="2" t="s">
        <v>3</v>
      </c>
      <c r="BO2" s="2" t="s">
        <v>3</v>
      </c>
      <c r="CA2" s="2">
        <f>COUNTIF(B2,"&gt;0")+COUNTIF(G2:I2,"&gt;0")</f>
        <v>0</v>
      </c>
      <c r="CB2" s="2">
        <f>COUNTIF(J2,"&gt;0")+COUNTIF(C2:D2,"&gt;0")</f>
        <v>0</v>
      </c>
      <c r="CC2" s="2">
        <f>COUNTIF(E2:F2,"&gt;0")</f>
        <v>0</v>
      </c>
      <c r="CD2" s="2">
        <f>M2</f>
        <v>0</v>
      </c>
      <c r="DB2" s="17">
        <f ca="1">AE2</f>
        <v>44728</v>
      </c>
      <c r="DC2" s="12">
        <f ca="1">AF3</f>
        <v>44728.270149189811</v>
      </c>
      <c r="DD2" s="2" t="s">
        <v>314</v>
      </c>
      <c r="DE2" s="2" t="str">
        <f>TRIM(CONCATENATE(B5,C5,D5,E5,F5,G5,H5,I5,J5,IF(B2=1,L3,L4)))</f>
        <v>، مشاهده شده‌اند.</v>
      </c>
      <c r="DF2" s="18" t="str">
        <f>IF(K2=0,"-",K12)</f>
        <v>-</v>
      </c>
      <c r="DG2" s="2" t="str">
        <f>IF(BJ2=0,"-",CONCATENATE(BJ12,BJ13,BJ14,BJ15,BJ16,BJ17,BJ18,BJ19,BJ20,BJ21,BJ22,BJ23,BJ24,BJ25,BJ26,BJ27,BJ28,BJ29,BJ30,BJ31,BJ32,BJ33,BJ34,BJ35,BJ36,BJ37,BJ38,BJ39,BJ40,BJ41,BJ42,BJ43,BJ44,BJ45,BJ46,BJ47,BJ48,BJ49,BJ50,BJ51,BJ52,BJ53,BJ54,BJ55,BJ56,BJ57,BJ58,BJ59,BJ60,BJ61,BJ62,BJ63,BJ64,BJ65,BJ66,BJ67,BJ68,BJ69,BJ70,BJ71,BJ72,BJ73,BJ74,BJ75,BJ76,BJ77,BJ78,BJ79,BJ80,BJ81,BJ82,BJ83,BJ84,BJ85,BJ86,BJ87,BJ88,BJ89,BJ90,BJ91,BJ92,BJ93,BJ94,BJ95,BJ96,BJ97,BJ98,BJ99,BJ100))</f>
        <v>-</v>
      </c>
      <c r="EA2" s="2" t="s">
        <v>259</v>
      </c>
      <c r="EB2" s="14"/>
      <c r="EC2" s="16"/>
      <c r="ED2" s="15"/>
    </row>
    <row r="3" spans="1:134" ht="111.6" x14ac:dyDescent="0.3">
      <c r="A3" s="2" t="s">
        <v>3</v>
      </c>
      <c r="B3" s="2" t="s">
        <v>128</v>
      </c>
      <c r="C3" s="2" t="s">
        <v>99</v>
      </c>
      <c r="D3" s="2" t="s">
        <v>50</v>
      </c>
      <c r="E3" s="2" t="s">
        <v>81</v>
      </c>
      <c r="F3" s="2" t="s">
        <v>83</v>
      </c>
      <c r="G3" s="2" t="s">
        <v>52</v>
      </c>
      <c r="H3" s="2" t="s">
        <v>85</v>
      </c>
      <c r="I3" s="2" t="s">
        <v>87</v>
      </c>
      <c r="J3" s="2" t="s">
        <v>48</v>
      </c>
      <c r="K3" s="2" t="s">
        <v>3</v>
      </c>
      <c r="L3" s="2" t="s">
        <v>125</v>
      </c>
      <c r="M3" s="2" t="s">
        <v>240</v>
      </c>
      <c r="Z3" s="2"/>
      <c r="AA3" s="2" t="s">
        <v>3</v>
      </c>
      <c r="AB3" s="2" t="s">
        <v>3</v>
      </c>
      <c r="AC3" s="2" t="s">
        <v>3</v>
      </c>
      <c r="AD3" s="2" t="s">
        <v>3</v>
      </c>
      <c r="AE3" s="2" t="str">
        <f ca="1">CONCATENATE("پیرو بررسی صورت‌گرفته در تاریخ ",TEXT(AE2,"[$-fa-[$-fa-ir,16]dd mmmm yyyy")," و ساعت ",TEXT(AF3,"hh:mm"),"، به استحضار می‌رساند؛",CHAR(10),CHAR(10))</f>
        <v xml:space="preserve">پیرو بررسی صورت‌گرفته در تاریخ 26 خرداد 1401 و ساعت 06:29، به استحضار می‌رساند؛
</v>
      </c>
      <c r="AF3" s="12">
        <f ca="1">NOW()</f>
        <v>44728.270149189811</v>
      </c>
      <c r="BA3" s="2" t="s">
        <v>128</v>
      </c>
      <c r="BB3" s="2" t="s">
        <v>99</v>
      </c>
      <c r="BC3" s="2" t="s">
        <v>50</v>
      </c>
      <c r="BD3" s="2" t="s">
        <v>81</v>
      </c>
      <c r="BE3" s="2" t="s">
        <v>83</v>
      </c>
      <c r="BF3" s="2" t="s">
        <v>52</v>
      </c>
      <c r="BG3" s="2" t="s">
        <v>85</v>
      </c>
      <c r="BH3" s="2" t="s">
        <v>87</v>
      </c>
      <c r="BI3" s="2" t="s">
        <v>48</v>
      </c>
      <c r="BJ3" s="2" t="s">
        <v>240</v>
      </c>
      <c r="BK3" s="6"/>
      <c r="BL3" s="2" t="s">
        <v>3</v>
      </c>
      <c r="BM3" s="2" t="s">
        <v>3</v>
      </c>
      <c r="BN3" s="2" t="s">
        <v>3</v>
      </c>
      <c r="BO3" s="2" t="s">
        <v>3</v>
      </c>
      <c r="EA3" s="19">
        <f ca="1">TODAY()</f>
        <v>44728</v>
      </c>
    </row>
    <row r="4" spans="1:134" ht="37.200000000000003" x14ac:dyDescent="0.3">
      <c r="A4" s="2" t="s">
        <v>3</v>
      </c>
      <c r="B4" s="2" t="s">
        <v>237</v>
      </c>
      <c r="C4" s="2" t="s">
        <v>100</v>
      </c>
      <c r="D4" s="2" t="s">
        <v>51</v>
      </c>
      <c r="E4" s="2" t="s">
        <v>82</v>
      </c>
      <c r="F4" s="2" t="s">
        <v>84</v>
      </c>
      <c r="G4" s="2" t="s">
        <v>53</v>
      </c>
      <c r="H4" s="2" t="s">
        <v>86</v>
      </c>
      <c r="I4" s="2" t="s">
        <v>88</v>
      </c>
      <c r="J4" s="2" t="s">
        <v>49</v>
      </c>
      <c r="K4" s="2" t="s">
        <v>54</v>
      </c>
      <c r="L4" s="2" t="s">
        <v>126</v>
      </c>
      <c r="M4" s="2" t="s">
        <v>278</v>
      </c>
      <c r="Z4" s="2"/>
      <c r="AA4" s="2" t="s">
        <v>3</v>
      </c>
      <c r="AB4" s="2" t="s">
        <v>3</v>
      </c>
      <c r="AC4" s="2" t="s">
        <v>3</v>
      </c>
      <c r="AD4" s="2" t="s">
        <v>3</v>
      </c>
      <c r="AE4" s="2"/>
      <c r="AF4" s="2"/>
      <c r="BA4" s="2" t="s">
        <v>237</v>
      </c>
      <c r="BB4" s="2" t="s">
        <v>100</v>
      </c>
      <c r="BC4" s="2" t="s">
        <v>51</v>
      </c>
      <c r="BD4" s="2" t="s">
        <v>82</v>
      </c>
      <c r="BE4" s="2" t="s">
        <v>84</v>
      </c>
      <c r="BF4" s="2" t="s">
        <v>53</v>
      </c>
      <c r="BG4" s="2" t="s">
        <v>86</v>
      </c>
      <c r="BH4" s="2" t="s">
        <v>88</v>
      </c>
      <c r="BI4" s="2" t="s">
        <v>49</v>
      </c>
      <c r="BJ4" s="2" t="s">
        <v>278</v>
      </c>
      <c r="BK4" s="6"/>
      <c r="BL4" s="2" t="s">
        <v>3</v>
      </c>
      <c r="BM4" s="2" t="s">
        <v>3</v>
      </c>
      <c r="BN4" s="2" t="s">
        <v>3</v>
      </c>
      <c r="BO4" s="2" t="s">
        <v>3</v>
      </c>
      <c r="EA4" s="2" t="str">
        <f ca="1">CONCATENATE(LEFT(TEXT(AF3,"hh:mm"),2),RIGHT(TEXT(AF3,"hh:mm"),2))</f>
        <v>0629</v>
      </c>
    </row>
    <row r="5" spans="1:134" ht="55.8" x14ac:dyDescent="0.3">
      <c r="A5" s="2" t="s">
        <v>3</v>
      </c>
      <c r="B5" s="2" t="str">
        <f>BA5</f>
        <v/>
      </c>
      <c r="C5" s="2" t="str">
        <f>BB5</f>
        <v/>
      </c>
      <c r="D5" s="2" t="str">
        <f t="shared" ref="D5:J5" si="2">BC5</f>
        <v/>
      </c>
      <c r="E5" s="2" t="str">
        <f t="shared" si="2"/>
        <v/>
      </c>
      <c r="F5" s="2" t="str">
        <f t="shared" si="2"/>
        <v/>
      </c>
      <c r="G5" s="2" t="str">
        <f t="shared" si="2"/>
        <v/>
      </c>
      <c r="H5" s="2" t="str">
        <f t="shared" si="2"/>
        <v/>
      </c>
      <c r="I5" s="2" t="str">
        <f t="shared" si="2"/>
        <v/>
      </c>
      <c r="J5" s="2" t="str">
        <f t="shared" si="2"/>
        <v/>
      </c>
      <c r="K5" s="2" t="str">
        <f>IF(K2=0,"",CONCATENATE(CHAR(10),CHAR(10),K4," ",K12))</f>
        <v/>
      </c>
      <c r="L5" s="2" t="str">
        <f ca="1">TRIM(CONCATENATE(AE3,B5,C5,D5,E5,F5,G5,H5,I5,J5,IF(B2=1,L3,L4)," ",K5,M5))</f>
        <v>پیرو بررسی صورت‌گرفته در تاریخ 26 خرداد 1401 و ساعت 06:29، به استحضار می‌رساند؛
، مشاهده شده‌اند.</v>
      </c>
      <c r="M5" s="2" t="str">
        <f>BJ5</f>
        <v/>
      </c>
      <c r="Z5" s="2"/>
      <c r="AA5" s="2" t="s">
        <v>3</v>
      </c>
      <c r="AB5" s="2" t="s">
        <v>3</v>
      </c>
      <c r="AC5" s="2" t="s">
        <v>3</v>
      </c>
      <c r="AD5" s="2" t="s">
        <v>3</v>
      </c>
      <c r="AE5" s="2"/>
      <c r="AF5" s="2"/>
      <c r="BA5" s="2" t="str">
        <f>IF(BA2=0,"",IF(BA2=1,CONCATENATE(BA3," ",BA12),CONCATENATE(BA4," ",BA12,BA13,BA14,BA15,BA16,BA17,BA18,BA19,BA20,BA21,BA22,BA23,BA24,BA25,BA26,BA27,BA28,BA29,BA30,BA31,BA32,BA33,BA34,BA35,BA36,BA37,BA38,BA39,BA40,BA41,BA42,BA43,BA44,BA45,BA46,BA47,BA48,BA49,BA50,BA51,BA52,BA53,BA54,BA55,BA56,BA57,BA58,BA59,BA60,BA61,BA62,BA63,BA64,BA65,BA66,BA67,BA68,BA69,BA70,BA71,BA72,BA73,BA74,BA75,BA76,BA77,BA78,BA79,BA80,BA81,BA82,BA83,BA84,BA85,BA86,BA87,BA88,BA89,BA90,BA91,BA92,BA93,BA94,BA95,BA96,BA97,BA98,BA99,BA100)))</f>
        <v/>
      </c>
      <c r="BB5" s="2" t="str">
        <f>IF(BB2=0,"",IF(BB2=1,CONCATENATE(BB3," ",BB12),CONCATENATE(BB4," ",BB12,BB13,BB14,BB15,BB16,BB17,BB18,BB19,BB20,BB21,BB22,BB23,BB24,BB25,BB26,BB27,BB28,BB29,BB30,BB31,BB32,BB33,BB34,BB35,BB36,BB37,BB38,BB39,BB40,BB41,BB42,BB43,BB44,BB45,BB46,BB47,BB48,BB49,BB50,BB51,BB52,BB53,BB54,BB55,BB56,BB57,BB58,BB59,BB60,BB61,BB62,BB63,BB64,BB65,BB66,BB67,BB68,BB69,BB70,BB71,BB72,BB73,BB74,BB75,BB76,BB77,BB78,BB79,BB80,BB81,BB82,BB83,BB84,BB85,BB86,BB87,BB88,BB89,BB90,BB91,BB92,BB93,BB94,BB95,BB96,BB97,BB98,BB99,BB100)))</f>
        <v/>
      </c>
      <c r="BC5" s="2" t="str">
        <f t="shared" ref="BC5:BI5" si="3">IF(BC2=0,"",IF(BC2=1,CONCATENATE(BC3," ",BC12),CONCATENATE(BC4," ",BC12,BC13,BC14,BC15,BC16,BC17,BC18,BC19,BC20,BC21,BC22,BC23,BC24,BC25,BC26,BC27,BC28,BC29,BC30,BC31,BC32,BC33,BC34,BC35,BC36,BC37,BC38,BC39,BC40,BC41,BC42,BC43,BC44,BC45,BC46,BC47,BC48,BC49,BC50,BC51,BC52,BC53,BC54,BC55,BC56,BC57,BC58,BC59,BC60,BC61,BC62,BC63,BC64,BC65,BC66,BC67,BC68,BC69,BC70,BC71,BC72,BC73,BC74,BC75,BC76,BC77,BC78,BC79,BC80,BC81,BC82,BC83,BC84,BC85,BC86,BC87,BC88,BC89,BC90,BC91,BC92,BC93,BC94,BC95,BC96,BC97,BC98,BC99,BC100)))</f>
        <v/>
      </c>
      <c r="BD5" s="2" t="str">
        <f t="shared" si="3"/>
        <v/>
      </c>
      <c r="BE5" s="2" t="str">
        <f t="shared" si="3"/>
        <v/>
      </c>
      <c r="BF5" s="2" t="str">
        <f t="shared" si="3"/>
        <v/>
      </c>
      <c r="BG5" s="2" t="str">
        <f t="shared" si="3"/>
        <v/>
      </c>
      <c r="BH5" s="2" t="str">
        <f t="shared" si="3"/>
        <v/>
      </c>
      <c r="BI5" s="2" t="str">
        <f t="shared" si="3"/>
        <v/>
      </c>
      <c r="BJ5" s="2" t="str">
        <f>IF(BJ2=0,"",IF(BJ2=1,CONCATENATE(CHAR(10),CHAR(10),BJ3,CHAR(10),BJ12),CONCATENATE(CHAR(10),CHAR(10),BJ4,CHAR(10),BJ12,BJ13,BJ14,BJ15,BJ16,BJ17,BJ18,BJ19,BJ20,BJ21,BJ22,BJ23,BJ24,BJ25,BJ26,BJ27,BJ28,BJ29,BJ30,BJ31,BJ32,BJ33,BJ34,BJ35,BJ36,BJ37,BJ38,BJ39,BJ40,BJ41,BJ42,BJ43,BJ44,BJ45,BJ46,BJ47,BJ48,BJ49,BJ50,BJ51,BJ52,BJ53,BJ54,BJ55,BJ56,BJ57,BJ58,BJ59,BJ60,BJ61,BJ62,BJ63,BJ64,BJ65,BJ66,BJ67,BJ68,BJ69,BJ70,BJ71,BJ72,BJ73,BJ74,BJ75,BJ76,BJ77,BJ78,BJ79,BJ80,BJ81,BJ82,BJ83,BJ84,BJ85,BJ86,BJ87,BJ88,BJ89,BJ90,BJ91,BJ92,BJ93,BJ94,BJ95,BJ96,BJ97,BJ98,BJ99,BJ100)))</f>
        <v/>
      </c>
      <c r="BK5" s="6"/>
      <c r="BL5" s="2" t="s">
        <v>3</v>
      </c>
      <c r="BM5" s="2" t="s">
        <v>3</v>
      </c>
      <c r="BN5" s="2" t="s">
        <v>3</v>
      </c>
      <c r="BO5" s="2" t="str">
        <f>SUBSTITUTE(CONCATENATE(BO12,BO13,BO14,BO15,BO16,BO17,BO18,BO19,BO20,BO22,BO23,BO24,BO25,BO26,BO27,BO28,BO29,BO30,BO31),0,"")</f>
        <v/>
      </c>
      <c r="EA5" s="2" t="str">
        <f ca="1">CONCATENATE(TEXT(EA3,"[$-fa-[$-fa-ir,16]yyyy-mm-dd")," - ",EA4," - ",EA2)</f>
        <v>1401-03-26 - 0629 - گزارش مشکلات مشترکین</v>
      </c>
    </row>
    <row r="6" spans="1:134" ht="37.200000000000003" x14ac:dyDescent="0.3">
      <c r="A6" s="2" t="s">
        <v>3</v>
      </c>
      <c r="B6" s="2" t="s">
        <v>3</v>
      </c>
      <c r="C6" s="2" t="s">
        <v>3</v>
      </c>
      <c r="D6" s="2" t="s">
        <v>3</v>
      </c>
      <c r="E6" s="2" t="s">
        <v>3</v>
      </c>
      <c r="F6" s="2" t="s">
        <v>3</v>
      </c>
      <c r="G6" s="2" t="s">
        <v>3</v>
      </c>
      <c r="H6" s="2" t="s">
        <v>3</v>
      </c>
      <c r="I6" s="2" t="s">
        <v>3</v>
      </c>
      <c r="J6" s="2" t="s">
        <v>3</v>
      </c>
      <c r="K6" s="2" t="s">
        <v>3</v>
      </c>
      <c r="L6" s="2" t="s">
        <v>3</v>
      </c>
      <c r="M6" s="2" t="s">
        <v>3</v>
      </c>
      <c r="Z6" s="2"/>
      <c r="AA6" s="2" t="s">
        <v>3</v>
      </c>
      <c r="AB6" s="2" t="s">
        <v>3</v>
      </c>
      <c r="AC6" s="2" t="s">
        <v>3</v>
      </c>
      <c r="AD6" s="2" t="s">
        <v>3</v>
      </c>
      <c r="AE6" s="2"/>
      <c r="AF6" s="2"/>
      <c r="BA6" s="2" t="s">
        <v>3</v>
      </c>
      <c r="BB6" s="2" t="s">
        <v>3</v>
      </c>
      <c r="BC6" s="2" t="s">
        <v>3</v>
      </c>
      <c r="BD6" s="2" t="s">
        <v>3</v>
      </c>
      <c r="BE6" s="2" t="s">
        <v>3</v>
      </c>
      <c r="BF6" s="2" t="s">
        <v>3</v>
      </c>
      <c r="BG6" s="2" t="s">
        <v>3</v>
      </c>
      <c r="BH6" s="2" t="s">
        <v>3</v>
      </c>
      <c r="BI6" s="2" t="s">
        <v>3</v>
      </c>
      <c r="BJ6" s="2" t="s">
        <v>3</v>
      </c>
      <c r="BK6" s="6"/>
      <c r="BL6" s="2" t="s">
        <v>3</v>
      </c>
      <c r="BM6" s="2" t="s">
        <v>3</v>
      </c>
      <c r="BN6" s="2" t="s">
        <v>3</v>
      </c>
      <c r="BO6" s="2" t="s">
        <v>3</v>
      </c>
      <c r="EA6" s="2" t="s">
        <v>317</v>
      </c>
    </row>
    <row r="7" spans="1:134" x14ac:dyDescent="0.3">
      <c r="A7" s="2" t="s">
        <v>3</v>
      </c>
      <c r="B7" s="2" t="s">
        <v>3</v>
      </c>
      <c r="C7" s="2" t="s">
        <v>3</v>
      </c>
      <c r="D7" s="2" t="s">
        <v>3</v>
      </c>
      <c r="E7" s="2" t="s">
        <v>3</v>
      </c>
      <c r="F7" s="2" t="s">
        <v>3</v>
      </c>
      <c r="G7" s="2" t="s">
        <v>3</v>
      </c>
      <c r="H7" s="2" t="s">
        <v>3</v>
      </c>
      <c r="I7" s="2" t="s">
        <v>3</v>
      </c>
      <c r="J7" s="2" t="s">
        <v>3</v>
      </c>
      <c r="K7" s="2" t="s">
        <v>3</v>
      </c>
      <c r="L7" s="2" t="s">
        <v>3</v>
      </c>
      <c r="M7" s="2" t="s">
        <v>3</v>
      </c>
      <c r="Z7" s="2"/>
      <c r="AA7" s="2" t="s">
        <v>3</v>
      </c>
      <c r="AB7" s="2" t="s">
        <v>3</v>
      </c>
      <c r="AC7" s="2" t="s">
        <v>3</v>
      </c>
      <c r="AD7" s="2" t="s">
        <v>3</v>
      </c>
      <c r="AE7" s="2"/>
      <c r="AF7" s="2"/>
      <c r="BA7" s="2" t="s">
        <v>3</v>
      </c>
      <c r="BB7" s="2" t="s">
        <v>3</v>
      </c>
      <c r="BC7" s="2" t="s">
        <v>3</v>
      </c>
      <c r="BD7" s="2" t="s">
        <v>3</v>
      </c>
      <c r="BE7" s="2" t="s">
        <v>3</v>
      </c>
      <c r="BF7" s="2" t="s">
        <v>3</v>
      </c>
      <c r="BG7" s="2" t="s">
        <v>3</v>
      </c>
      <c r="BH7" s="2" t="s">
        <v>3</v>
      </c>
      <c r="BI7" s="2" t="s">
        <v>3</v>
      </c>
      <c r="BJ7" s="2" t="s">
        <v>3</v>
      </c>
      <c r="BK7" s="6"/>
      <c r="BL7" s="2" t="s">
        <v>3</v>
      </c>
      <c r="BM7" s="2" t="s">
        <v>3</v>
      </c>
      <c r="BN7" s="2" t="s">
        <v>3</v>
      </c>
      <c r="BO7" s="2" t="s">
        <v>3</v>
      </c>
    </row>
    <row r="8" spans="1:134" x14ac:dyDescent="0.3">
      <c r="A8" s="2" t="s">
        <v>3</v>
      </c>
      <c r="B8" s="2" t="s">
        <v>3</v>
      </c>
      <c r="C8" s="2" t="s">
        <v>3</v>
      </c>
      <c r="D8" s="2" t="s">
        <v>3</v>
      </c>
      <c r="E8" s="2" t="s">
        <v>3</v>
      </c>
      <c r="F8" s="2" t="s">
        <v>3</v>
      </c>
      <c r="G8" s="2" t="s">
        <v>3</v>
      </c>
      <c r="H8" s="2" t="s">
        <v>3</v>
      </c>
      <c r="I8" s="2" t="s">
        <v>3</v>
      </c>
      <c r="J8" s="2" t="s">
        <v>3</v>
      </c>
      <c r="K8" s="2" t="s">
        <v>3</v>
      </c>
      <c r="L8" s="2" t="s">
        <v>3</v>
      </c>
      <c r="M8" s="2" t="s">
        <v>3</v>
      </c>
      <c r="Z8" s="2"/>
      <c r="AA8" s="2" t="s">
        <v>3</v>
      </c>
      <c r="AB8" s="2" t="s">
        <v>3</v>
      </c>
      <c r="AC8" s="2" t="s">
        <v>3</v>
      </c>
      <c r="AD8" s="2" t="s">
        <v>3</v>
      </c>
      <c r="AE8" s="2"/>
      <c r="AF8" s="2"/>
      <c r="BA8" s="2" t="s">
        <v>3</v>
      </c>
      <c r="BB8" s="2" t="s">
        <v>3</v>
      </c>
      <c r="BC8" s="2" t="s">
        <v>3</v>
      </c>
      <c r="BD8" s="2" t="s">
        <v>3</v>
      </c>
      <c r="BE8" s="2" t="s">
        <v>3</v>
      </c>
      <c r="BF8" s="2" t="s">
        <v>3</v>
      </c>
      <c r="BG8" s="2" t="s">
        <v>3</v>
      </c>
      <c r="BH8" s="2" t="s">
        <v>3</v>
      </c>
      <c r="BI8" s="2" t="s">
        <v>3</v>
      </c>
      <c r="BJ8" s="2" t="s">
        <v>3</v>
      </c>
      <c r="BK8" s="6"/>
      <c r="BL8" s="2" t="s">
        <v>3</v>
      </c>
      <c r="BM8" s="2" t="s">
        <v>3</v>
      </c>
      <c r="BN8" s="2" t="s">
        <v>3</v>
      </c>
      <c r="BO8" s="2" t="s">
        <v>3</v>
      </c>
    </row>
    <row r="9" spans="1:134" x14ac:dyDescent="0.3">
      <c r="A9" s="2" t="s">
        <v>3</v>
      </c>
      <c r="B9" s="2" t="s">
        <v>3</v>
      </c>
      <c r="C9" s="2" t="s">
        <v>3</v>
      </c>
      <c r="D9" s="2" t="s">
        <v>3</v>
      </c>
      <c r="E9" s="2" t="s">
        <v>3</v>
      </c>
      <c r="F9" s="2" t="s">
        <v>3</v>
      </c>
      <c r="G9" s="2" t="s">
        <v>3</v>
      </c>
      <c r="H9" s="2" t="s">
        <v>3</v>
      </c>
      <c r="I9" s="2" t="s">
        <v>3</v>
      </c>
      <c r="J9" s="2" t="s">
        <v>3</v>
      </c>
      <c r="K9" s="2" t="s">
        <v>3</v>
      </c>
      <c r="L9" s="2" t="s">
        <v>3</v>
      </c>
      <c r="M9" s="2" t="s">
        <v>3</v>
      </c>
      <c r="Z9" s="2"/>
      <c r="AA9" s="2" t="s">
        <v>3</v>
      </c>
      <c r="AB9" s="2" t="s">
        <v>3</v>
      </c>
      <c r="AC9" s="2" t="s">
        <v>3</v>
      </c>
      <c r="AD9" s="2" t="s">
        <v>3</v>
      </c>
      <c r="AE9" s="2"/>
      <c r="AF9" s="2"/>
      <c r="BA9" s="2" t="s">
        <v>3</v>
      </c>
      <c r="BB9" s="2" t="s">
        <v>3</v>
      </c>
      <c r="BC9" s="2" t="s">
        <v>3</v>
      </c>
      <c r="BD9" s="2" t="s">
        <v>3</v>
      </c>
      <c r="BE9" s="2" t="s">
        <v>3</v>
      </c>
      <c r="BF9" s="2" t="s">
        <v>3</v>
      </c>
      <c r="BG9" s="2" t="s">
        <v>3</v>
      </c>
      <c r="BH9" s="2" t="s">
        <v>3</v>
      </c>
      <c r="BI9" s="2" t="s">
        <v>3</v>
      </c>
      <c r="BJ9" s="2" t="s">
        <v>3</v>
      </c>
      <c r="BK9" s="6"/>
      <c r="BL9" s="2" t="s">
        <v>3</v>
      </c>
      <c r="BM9" s="2" t="s">
        <v>3</v>
      </c>
      <c r="BN9" s="2" t="s">
        <v>3</v>
      </c>
      <c r="BO9" s="2" t="s">
        <v>3</v>
      </c>
    </row>
    <row r="10" spans="1:134" x14ac:dyDescent="0.3">
      <c r="A10" s="2" t="s">
        <v>3</v>
      </c>
      <c r="B10" s="2" t="s">
        <v>3</v>
      </c>
      <c r="C10" s="2" t="s">
        <v>3</v>
      </c>
      <c r="D10" s="2" t="s">
        <v>3</v>
      </c>
      <c r="E10" s="2" t="s">
        <v>3</v>
      </c>
      <c r="F10" s="2" t="s">
        <v>3</v>
      </c>
      <c r="G10" s="2" t="s">
        <v>3</v>
      </c>
      <c r="H10" s="2" t="s">
        <v>3</v>
      </c>
      <c r="I10" s="2" t="s">
        <v>3</v>
      </c>
      <c r="J10" s="2" t="s">
        <v>3</v>
      </c>
      <c r="K10" s="2" t="s">
        <v>3</v>
      </c>
      <c r="L10" s="2" t="s">
        <v>3</v>
      </c>
      <c r="M10" s="2" t="s">
        <v>3</v>
      </c>
      <c r="Z10" s="2"/>
      <c r="AA10" s="2" t="s">
        <v>3</v>
      </c>
      <c r="AB10" s="2" t="s">
        <v>3</v>
      </c>
      <c r="AC10" s="2" t="s">
        <v>3</v>
      </c>
      <c r="AD10" s="2" t="s">
        <v>3</v>
      </c>
      <c r="AE10" s="2"/>
      <c r="AF10" s="2"/>
      <c r="BA10" s="2" t="s">
        <v>3</v>
      </c>
      <c r="BB10" s="2" t="s">
        <v>3</v>
      </c>
      <c r="BC10" s="2" t="s">
        <v>3</v>
      </c>
      <c r="BD10" s="2" t="s">
        <v>3</v>
      </c>
      <c r="BE10" s="2" t="s">
        <v>3</v>
      </c>
      <c r="BF10" s="2" t="s">
        <v>3</v>
      </c>
      <c r="BG10" s="2" t="s">
        <v>3</v>
      </c>
      <c r="BH10" s="2" t="s">
        <v>3</v>
      </c>
      <c r="BI10" s="2" t="s">
        <v>3</v>
      </c>
      <c r="BJ10" s="2" t="s">
        <v>3</v>
      </c>
      <c r="BK10" s="6"/>
      <c r="BL10" s="2" t="s">
        <v>3</v>
      </c>
      <c r="BM10" s="2" t="s">
        <v>3</v>
      </c>
      <c r="BN10" s="2" t="s">
        <v>3</v>
      </c>
      <c r="BO10" s="2" t="s">
        <v>3</v>
      </c>
    </row>
    <row r="11" spans="1:134" ht="19.2" thickBot="1" x14ac:dyDescent="0.35">
      <c r="A11" s="2" t="s">
        <v>3</v>
      </c>
      <c r="B11" s="2" t="s">
        <v>3</v>
      </c>
      <c r="C11" s="2" t="s">
        <v>3</v>
      </c>
      <c r="D11" s="2" t="s">
        <v>3</v>
      </c>
      <c r="E11" s="2" t="s">
        <v>3</v>
      </c>
      <c r="F11" s="2" t="s">
        <v>3</v>
      </c>
      <c r="G11" s="2" t="s">
        <v>3</v>
      </c>
      <c r="H11" s="2" t="s">
        <v>3</v>
      </c>
      <c r="I11" s="2" t="s">
        <v>3</v>
      </c>
      <c r="J11" s="2" t="s">
        <v>3</v>
      </c>
      <c r="K11" s="2" t="s">
        <v>3</v>
      </c>
      <c r="L11" s="2" t="s">
        <v>3</v>
      </c>
      <c r="M11" s="2" t="s">
        <v>3</v>
      </c>
      <c r="Z11" s="2"/>
      <c r="AA11" s="2" t="s">
        <v>3</v>
      </c>
      <c r="AB11" s="2" t="s">
        <v>3</v>
      </c>
      <c r="AC11" s="2" t="s">
        <v>3</v>
      </c>
      <c r="AD11" s="2" t="s">
        <v>3</v>
      </c>
      <c r="AE11" s="2"/>
      <c r="AF11" s="2"/>
      <c r="BA11" s="2" t="s">
        <v>3</v>
      </c>
      <c r="BB11" s="2" t="s">
        <v>3</v>
      </c>
      <c r="BC11" s="2" t="s">
        <v>3</v>
      </c>
      <c r="BD11" s="2" t="s">
        <v>3</v>
      </c>
      <c r="BE11" s="2" t="s">
        <v>3</v>
      </c>
      <c r="BF11" s="2" t="s">
        <v>3</v>
      </c>
      <c r="BG11" s="2" t="s">
        <v>3</v>
      </c>
      <c r="BH11" s="2" t="s">
        <v>3</v>
      </c>
      <c r="BI11" s="2" t="s">
        <v>3</v>
      </c>
      <c r="BJ11" s="2" t="s">
        <v>3</v>
      </c>
      <c r="BK11" s="6"/>
      <c r="BL11" s="21" t="s">
        <v>3</v>
      </c>
      <c r="BM11" s="21" t="s">
        <v>3</v>
      </c>
      <c r="BN11" s="21" t="s">
        <v>3</v>
      </c>
      <c r="BO11" s="21" t="s">
        <v>3</v>
      </c>
    </row>
    <row r="12" spans="1:134" ht="75" thickBot="1" x14ac:dyDescent="0.35">
      <c r="A12" s="2" t="str">
        <f t="array" ref="A12">IFERROR(INDEX(MainData!$A$2:$A$878,MATCH(0,COUNTIF($A$1:A1,MainData!$A$2:$A$878),0)),"")</f>
        <v>سیم‌کارت دائمی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13"/>
      <c r="Z12" s="2" t="s">
        <v>122</v>
      </c>
      <c r="AA12" s="2" t="s">
        <v>59</v>
      </c>
      <c r="AB12" s="2" t="s">
        <v>1</v>
      </c>
      <c r="AC12" s="2" t="s">
        <v>67</v>
      </c>
      <c r="AD12" s="2" t="s">
        <v>71</v>
      </c>
      <c r="AE12" s="2"/>
      <c r="AF12" s="2"/>
      <c r="BA12" s="2" t="str">
        <f>IF(OR(B12="",B12="-"),"",IF((COUNTA(BA13:BA$100)-COUNTBLANK(BA13:BA$100))=0,B12,IF((COUNTA(BA13:BA$100)-COUNTBLANK(BA13:BA$100))=1,CONCATENATE(B12," و "),CONCATENATE(B12,"، "))))</f>
        <v/>
      </c>
      <c r="BB12" s="2" t="str">
        <f>IF(OR(C12="",C12="-"),"",IF((COUNTA(BB13:BB$100)-COUNTBLANK(BB13:BB$100))=0,C12,IF((COUNTA(BB13:BB$100)-COUNTBLANK(BB13:BB$100))=1,CONCATENATE(C12," و "),CONCATENATE(C12,"، "))))</f>
        <v/>
      </c>
      <c r="BC12" s="2" t="str">
        <f>IF(OR(D12="",D12="-"),"",IF((COUNTA(BC13:BC$100)-COUNTBLANK(BC13:BC$100))=0,D12,IF((COUNTA(BC13:BC$100)-COUNTBLANK(BC13:BC$100))=1,CONCATENATE(D12," و "),CONCATENATE(D12,"، "))))</f>
        <v/>
      </c>
      <c r="BD12" s="2" t="str">
        <f>IF(OR(E12="",E12="-"),"",IF((COUNTA(BD13:BD$100)-COUNTBLANK(BD13:BD$100))=0,E12,IF((COUNTA(BD13:BD$100)-COUNTBLANK(BD13:BD$100))=1,CONCATENATE(E12," و "),CONCATENATE(E12,"، "))))</f>
        <v/>
      </c>
      <c r="BE12" s="2" t="str">
        <f>IF(OR(F12="",F12="-"),"",IF((COUNTA(BE13:BE$100)-COUNTBLANK(BE13:BE$100))=0,F12,IF((COUNTA(BE13:BE$100)-COUNTBLANK(BE13:BE$100))=1,CONCATENATE(F12," و "),CONCATENATE(F12,"، "))))</f>
        <v/>
      </c>
      <c r="BF12" s="2" t="str">
        <f>IF(OR(G12="",G12="-"),"",IF((COUNTA(BF13:BF$100)-COUNTBLANK(BF13:BF$100))=0,G12,IF((COUNTA(BF13:BF$100)-COUNTBLANK(BF13:BF$100))=1,CONCATENATE(G12," و "),CONCATENATE(G12,"، "))))</f>
        <v/>
      </c>
      <c r="BG12" s="2" t="str">
        <f>IF(OR(H12="",H12="-"),"",IF((COUNTA(BG13:BG$100)-COUNTBLANK(BG13:BG$100))=0,H12,IF((COUNTA(BG13:BG$100)-COUNTBLANK(BG13:BG$100))=1,CONCATENATE(H12," و "),CONCATENATE(H12,"، "))))</f>
        <v/>
      </c>
      <c r="BH12" s="2" t="str">
        <f>IF(OR(I12="",I12="-"),"",IF((COUNTA(BH13:BH$100)-COUNTBLANK(BH13:BH$100))=0,I12,IF((COUNTA(BH13:BH$100)-COUNTBLANK(BH13:BH$100))=1,CONCATENATE(I12," و "),CONCATENATE(I12,"، "))))</f>
        <v/>
      </c>
      <c r="BI12" s="2" t="str">
        <f>IF(OR(J12="",J12="-"),"",IF((COUNTA(BI13:BI$100)-COUNTBLANK(BI13:BI$100))=0,J12,IF((COUNTA(BI13:BI$100)-COUNTBLANK(BI13:BI$100))=1,CONCATENATE(J12," و "),CONCATENATE(J12,"، "))))</f>
        <v/>
      </c>
      <c r="BJ12" s="2" t="str">
        <f>IF(M12="","",IF((COUNTA(BJ13:$BJ$100)-COUNTBLANK(BJ13:$BJ$100)&gt;0),CONCATENATE(M12,CHAR(10)),M12))</f>
        <v/>
      </c>
      <c r="BK12" s="6"/>
      <c r="BL12" s="23" t="s">
        <v>145</v>
      </c>
      <c r="BM12" s="24">
        <f>COUNTIF(I:I,BL12)</f>
        <v>0</v>
      </c>
      <c r="BN12" s="30" t="s">
        <v>282</v>
      </c>
      <c r="BO12" s="34" t="str">
        <f>IF(BM12&gt;0,CONCATENATE(BN12,CHAR(10)),"")</f>
        <v/>
      </c>
    </row>
    <row r="13" spans="1:134" ht="37.200000000000003" x14ac:dyDescent="0.3">
      <c r="A13" s="2" t="str">
        <f t="array" ref="A13">IFERROR(INDEX(MainData!$A$2:$A$878,MATCH(0,COUNTIF($A$1:A12,MainData!$A$2:$A$878),0)),"")</f>
        <v>سیم‌کارت اعتباری</v>
      </c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13"/>
      <c r="Z13" s="2" t="s">
        <v>121</v>
      </c>
      <c r="AA13" s="2" t="s">
        <v>61</v>
      </c>
      <c r="AB13" s="2" t="s">
        <v>63</v>
      </c>
      <c r="AC13" s="2" t="s">
        <v>68</v>
      </c>
      <c r="AD13" s="2" t="s">
        <v>70</v>
      </c>
      <c r="AE13" s="2"/>
      <c r="AF13" s="2"/>
      <c r="BA13" s="2" t="str">
        <f>IF(OR(B13="",B13="-"),"",IF((COUNTA(BA14:BA$100)-COUNTBLANK(BA14:BA$100))=0,B13,IF((COUNTA(BA14:BA$100)-COUNTBLANK(BA14:BA$100))=1,CONCATENATE(B13," و "),CONCATENATE(B13,"، "))))</f>
        <v/>
      </c>
      <c r="BB13" s="2" t="str">
        <f>IF(OR(C13="",C13="-"),"",IF((COUNTA(BB14:BB$100)-COUNTBLANK(BB14:BB$100))=0,C13,IF((COUNTA(BB14:BB$100)-COUNTBLANK(BB14:BB$100))=1,CONCATENATE(C13," و "),CONCATENATE(C13,"، "))))</f>
        <v/>
      </c>
      <c r="BC13" s="2" t="str">
        <f>IF(OR(D13="",D13="-"),"",IF((COUNTA(BC14:BC$100)-COUNTBLANK(BC14:BC$100))=0,D13,IF((COUNTA(BC14:BC$100)-COUNTBLANK(BC14:BC$100))=1,CONCATENATE(D13," و "),CONCATENATE(D13,"، "))))</f>
        <v/>
      </c>
      <c r="BD13" s="2" t="str">
        <f>IF(OR(E13="",E13="-"),"",IF((COUNTA(BD14:BD$100)-COUNTBLANK(BD14:BD$100))=0,E13,IF((COUNTA(BD14:BD$100)-COUNTBLANK(BD14:BD$100))=1,CONCATENATE(E13," و "),CONCATENATE(E13,"، "))))</f>
        <v/>
      </c>
      <c r="BE13" s="2" t="str">
        <f>IF(OR(F13="",F13="-"),"",IF((COUNTA(BE14:BE$100)-COUNTBLANK(BE14:BE$100))=0,F13,IF((COUNTA(BE14:BE$100)-COUNTBLANK(BE14:BE$100))=1,CONCATENATE(F13," و "),CONCATENATE(F13,"، "))))</f>
        <v/>
      </c>
      <c r="BF13" s="2" t="str">
        <f>IF(OR(G13="",G13="-"),"",IF((COUNTA(BF14:BF$100)-COUNTBLANK(BF14:BF$100))=0,G13,IF((COUNTA(BF14:BF$100)-COUNTBLANK(BF14:BF$100))=1,CONCATENATE(G13," و "),CONCATENATE(G13,"، "))))</f>
        <v/>
      </c>
      <c r="BG13" s="2" t="str">
        <f>IF(OR(H13="",H13="-"),"",IF((COUNTA(BG14:BG$100)-COUNTBLANK(BG14:BG$100))=0,H13,IF((COUNTA(BG14:BG$100)-COUNTBLANK(BG14:BG$100))=1,CONCATENATE(H13," و "),CONCATENATE(H13,"، "))))</f>
        <v/>
      </c>
      <c r="BH13" s="2" t="str">
        <f>IF(OR(I13="",I13="-"),"",IF((COUNTA(BH14:BH$100)-COUNTBLANK(BH14:BH$100))=0,I13,IF((COUNTA(BH14:BH$100)-COUNTBLANK(BH14:BH$100))=1,CONCATENATE(I13," و "),CONCATENATE(I13,"، "))))</f>
        <v/>
      </c>
      <c r="BI13" s="2" t="str">
        <f>IF(OR(J13="",J13="-"),"",IF((COUNTA(BI14:BI$100)-COUNTBLANK(BI14:BI$100))=0,J13,IF((COUNTA(BI14:BI$100)-COUNTBLANK(BI14:BI$100))=1,CONCATENATE(J13," و "),CONCATENATE(J13,"، "))))</f>
        <v/>
      </c>
      <c r="BJ13" s="2" t="str">
        <f>IF(M13="","",IF((COUNTA(BJ14:$BJ$100)-COUNTBLANK(BJ14:$BJ$100)&gt;0),CONCATENATE(M13,CHAR(10)),M13))</f>
        <v/>
      </c>
      <c r="BK13" s="6"/>
      <c r="BL13" s="25" t="s">
        <v>191</v>
      </c>
      <c r="BM13" s="26">
        <f>COUNTIF(J:J,BL13)</f>
        <v>0</v>
      </c>
      <c r="BN13" s="26" t="s">
        <v>281</v>
      </c>
      <c r="BO13" s="35" t="str">
        <f>IF(SUM(BM13:BM17)&gt;0,CONCATENATE(BN13,CHAR(10)),"")</f>
        <v/>
      </c>
    </row>
    <row r="14" spans="1:134" ht="37.200000000000003" x14ac:dyDescent="0.3">
      <c r="A14" s="2">
        <f t="array" ref="A14">IFERROR(INDEX(MainData!$A$2:$A$878,MATCH(0,COUNTIF($A$1:A13,MainData!$A$2:$A$878),0)),"")</f>
        <v>0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13"/>
      <c r="Z14" s="2"/>
      <c r="AA14" s="2" t="s">
        <v>127</v>
      </c>
      <c r="AB14" s="2" t="s">
        <v>64</v>
      </c>
      <c r="AC14" s="2" t="s">
        <v>69</v>
      </c>
      <c r="AD14" s="2" t="s">
        <v>3</v>
      </c>
      <c r="AE14" s="2"/>
      <c r="AF14" s="2"/>
      <c r="BA14" s="2" t="str">
        <f>IF(OR(B14="",B14="-"),"",IF((COUNTA(BA15:BA$100)-COUNTBLANK(BA15:BA$100))=0,B14,IF((COUNTA(BA15:BA$100)-COUNTBLANK(BA15:BA$100))=1,CONCATENATE(B14," و "),CONCATENATE(B14,"، "))))</f>
        <v/>
      </c>
      <c r="BB14" s="2" t="str">
        <f>IF(OR(C14="",C14="-"),"",IF((COUNTA(BB15:BB$100)-COUNTBLANK(BB15:BB$100))=0,C14,IF((COUNTA(BB15:BB$100)-COUNTBLANK(BB15:BB$100))=1,CONCATENATE(C14," و "),CONCATENATE(C14,"، "))))</f>
        <v/>
      </c>
      <c r="BC14" s="2" t="str">
        <f>IF(OR(D14="",D14="-"),"",IF((COUNTA(BC15:BC$100)-COUNTBLANK(BC15:BC$100))=0,D14,IF((COUNTA(BC15:BC$100)-COUNTBLANK(BC15:BC$100))=1,CONCATENATE(D14," و "),CONCATENATE(D14,"، "))))</f>
        <v/>
      </c>
      <c r="BD14" s="2" t="str">
        <f>IF(OR(E14="",E14="-"),"",IF((COUNTA(BD15:BD$100)-COUNTBLANK(BD15:BD$100))=0,E14,IF((COUNTA(BD15:BD$100)-COUNTBLANK(BD15:BD$100))=1,CONCATENATE(E14," و "),CONCATENATE(E14,"، "))))</f>
        <v/>
      </c>
      <c r="BE14" s="2" t="str">
        <f>IF(OR(F14="",F14="-"),"",IF((COUNTA(BE15:BE$100)-COUNTBLANK(BE15:BE$100))=0,F14,IF((COUNTA(BE15:BE$100)-COUNTBLANK(BE15:BE$100))=1,CONCATENATE(F14," و "),CONCATENATE(F14,"، "))))</f>
        <v/>
      </c>
      <c r="BF14" s="2" t="str">
        <f>IF(OR(G14="",G14="-"),"",IF((COUNTA(BF15:BF$100)-COUNTBLANK(BF15:BF$100))=0,G14,IF((COUNTA(BF15:BF$100)-COUNTBLANK(BF15:BF$100))=1,CONCATENATE(G14," و "),CONCATENATE(G14,"، "))))</f>
        <v/>
      </c>
      <c r="BG14" s="2" t="str">
        <f>IF(OR(H14="",H14="-"),"",IF((COUNTA(BG15:BG$100)-COUNTBLANK(BG15:BG$100))=0,H14,IF((COUNTA(BG15:BG$100)-COUNTBLANK(BG15:BG$100))=1,CONCATENATE(H14," و "),CONCATENATE(H14,"، "))))</f>
        <v/>
      </c>
      <c r="BH14" s="2" t="str">
        <f>IF(OR(I14="",I14="-"),"",IF((COUNTA(BH15:BH$100)-COUNTBLANK(BH15:BH$100))=0,I14,IF((COUNTA(BH15:BH$100)-COUNTBLANK(BH15:BH$100))=1,CONCATENATE(I14," و "),CONCATENATE(I14,"، "))))</f>
        <v/>
      </c>
      <c r="BI14" s="2" t="str">
        <f>IF(OR(J14="",J14="-"),"",IF((COUNTA(BI15:BI$100)-COUNTBLANK(BI15:BI$100))=0,J14,IF((COUNTA(BI15:BI$100)-COUNTBLANK(BI15:BI$100))=1,CONCATENATE(J14," و "),CONCATENATE(J14,"، "))))</f>
        <v/>
      </c>
      <c r="BJ14" s="2" t="str">
        <f>IF(M14="","",IF((COUNTA(BJ15:$BJ$100)-COUNTBLANK(BJ15:$BJ$100)&gt;0),CONCATENATE(M14,CHAR(10)),M14))</f>
        <v/>
      </c>
      <c r="BK14" s="6"/>
      <c r="BL14" s="27" t="s">
        <v>148</v>
      </c>
      <c r="BM14" s="2">
        <f t="shared" ref="BM14:BM31" si="4">COUNTIF(J:J,BL14)</f>
        <v>0</v>
      </c>
      <c r="BN14" s="2"/>
      <c r="BO14" s="36"/>
    </row>
    <row r="15" spans="1:134" x14ac:dyDescent="0.3">
      <c r="A15" s="2" t="str">
        <f t="array" ref="A15">IFERROR(INDEX(MainData!$A$2:$A$878,MATCH(0,COUNTIF($A$1:A14,MainData!$A$2:$A$878),0)),"")</f>
        <v/>
      </c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13"/>
      <c r="Z15" s="2"/>
      <c r="AA15" s="2" t="s">
        <v>12</v>
      </c>
      <c r="AB15" s="2" t="s">
        <v>220</v>
      </c>
      <c r="AC15" s="2" t="s">
        <v>3</v>
      </c>
      <c r="AD15" s="2"/>
      <c r="AE15" s="2"/>
      <c r="AF15" s="2"/>
      <c r="BA15" s="2" t="str">
        <f>IF(OR(B15="",B15="-"),"",IF((COUNTA(BA16:BA$100)-COUNTBLANK(BA16:BA$100))=0,B15,IF((COUNTA(BA16:BA$100)-COUNTBLANK(BA16:BA$100))=1,CONCATENATE(B15," و "),CONCATENATE(B15,"، "))))</f>
        <v/>
      </c>
      <c r="BB15" s="2" t="str">
        <f>IF(OR(C15="",C15="-"),"",IF((COUNTA(BB16:BB$100)-COUNTBLANK(BB16:BB$100))=0,C15,IF((COUNTA(BB16:BB$100)-COUNTBLANK(BB16:BB$100))=1,CONCATENATE(C15," و "),CONCATENATE(C15,"، "))))</f>
        <v/>
      </c>
      <c r="BC15" s="2" t="str">
        <f>IF(OR(D15="",D15="-"),"",IF((COUNTA(BC16:BC$100)-COUNTBLANK(BC16:BC$100))=0,D15,IF((COUNTA(BC16:BC$100)-COUNTBLANK(BC16:BC$100))=1,CONCATENATE(D15," و "),CONCATENATE(D15,"، "))))</f>
        <v/>
      </c>
      <c r="BD15" s="2" t="str">
        <f>IF(OR(E15="",E15="-"),"",IF((COUNTA(BD16:BD$100)-COUNTBLANK(BD16:BD$100))=0,E15,IF((COUNTA(BD16:BD$100)-COUNTBLANK(BD16:BD$100))=1,CONCATENATE(E15," و "),CONCATENATE(E15,"، "))))</f>
        <v/>
      </c>
      <c r="BE15" s="2" t="str">
        <f>IF(OR(F15="",F15="-"),"",IF((COUNTA(BE16:BE$100)-COUNTBLANK(BE16:BE$100))=0,F15,IF((COUNTA(BE16:BE$100)-COUNTBLANK(BE16:BE$100))=1,CONCATENATE(F15," و "),CONCATENATE(F15,"، "))))</f>
        <v/>
      </c>
      <c r="BF15" s="2" t="str">
        <f>IF(OR(G15="",G15="-"),"",IF((COUNTA(BF16:BF$100)-COUNTBLANK(BF16:BF$100))=0,G15,IF((COUNTA(BF16:BF$100)-COUNTBLANK(BF16:BF$100))=1,CONCATENATE(G15," و "),CONCATENATE(G15,"، "))))</f>
        <v/>
      </c>
      <c r="BG15" s="2" t="str">
        <f>IF(OR(H15="",H15="-"),"",IF((COUNTA(BG16:BG$100)-COUNTBLANK(BG16:BG$100))=0,H15,IF((COUNTA(BG16:BG$100)-COUNTBLANK(BG16:BG$100))=1,CONCATENATE(H15," و "),CONCATENATE(H15,"، "))))</f>
        <v/>
      </c>
      <c r="BH15" s="2" t="str">
        <f>IF(OR(I15="",I15="-"),"",IF((COUNTA(BH16:BH$100)-COUNTBLANK(BH16:BH$100))=0,I15,IF((COUNTA(BH16:BH$100)-COUNTBLANK(BH16:BH$100))=1,CONCATENATE(I15," و "),CONCATENATE(I15,"، "))))</f>
        <v/>
      </c>
      <c r="BI15" s="2" t="str">
        <f>IF(OR(J15="",J15="-"),"",IF((COUNTA(BI16:BI$100)-COUNTBLANK(BI16:BI$100))=0,J15,IF((COUNTA(BI16:BI$100)-COUNTBLANK(BI16:BI$100))=1,CONCATENATE(J15," و "),CONCATENATE(J15,"، "))))</f>
        <v/>
      </c>
      <c r="BJ15" s="2" t="str">
        <f>IF(M15="","",IF((COUNTA(BJ16:$BJ$100)-COUNTBLANK(BJ16:$BJ$100)&gt;0),CONCATENATE(M15,CHAR(10)),M15))</f>
        <v/>
      </c>
      <c r="BK15" s="6"/>
      <c r="BL15" s="27" t="s">
        <v>11</v>
      </c>
      <c r="BM15" s="2">
        <f t="shared" si="4"/>
        <v>0</v>
      </c>
      <c r="BN15" s="2"/>
      <c r="BO15" s="37"/>
    </row>
    <row r="16" spans="1:134" ht="37.200000000000003" x14ac:dyDescent="0.3">
      <c r="A16" s="2" t="str">
        <f t="array" ref="A16">IFERROR(INDEX(MainData!$A$2:$A$878,MATCH(0,COUNTIF($A$1:A15,MainData!$A$2:$A$878),0)),"")</f>
        <v/>
      </c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13"/>
      <c r="Z16" s="2"/>
      <c r="AA16" s="2" t="s">
        <v>13</v>
      </c>
      <c r="AB16" s="2" t="s">
        <v>3</v>
      </c>
      <c r="AC16" s="2"/>
      <c r="AD16" s="2"/>
      <c r="AE16" s="2"/>
      <c r="AF16" s="2"/>
      <c r="BA16" s="2" t="str">
        <f>IF(OR(B16="",B16="-"),"",IF((COUNTA(BA17:BA$100)-COUNTBLANK(BA17:BA$100))=0,B16,IF((COUNTA(BA17:BA$100)-COUNTBLANK(BA17:BA$100))=1,CONCATENATE(B16," و "),CONCATENATE(B16,"، "))))</f>
        <v/>
      </c>
      <c r="BB16" s="2" t="str">
        <f>IF(OR(C16="",C16="-"),"",IF((COUNTA(BB17:BB$100)-COUNTBLANK(BB17:BB$100))=0,C16,IF((COUNTA(BB17:BB$100)-COUNTBLANK(BB17:BB$100))=1,CONCATENATE(C16," و "),CONCATENATE(C16,"، "))))</f>
        <v/>
      </c>
      <c r="BC16" s="2" t="str">
        <f>IF(OR(D16="",D16="-"),"",IF((COUNTA(BC17:BC$100)-COUNTBLANK(BC17:BC$100))=0,D16,IF((COUNTA(BC17:BC$100)-COUNTBLANK(BC17:BC$100))=1,CONCATENATE(D16," و "),CONCATENATE(D16,"، "))))</f>
        <v/>
      </c>
      <c r="BD16" s="2" t="str">
        <f>IF(OR(E16="",E16="-"),"",IF((COUNTA(BD17:BD$100)-COUNTBLANK(BD17:BD$100))=0,E16,IF((COUNTA(BD17:BD$100)-COUNTBLANK(BD17:BD$100))=1,CONCATENATE(E16," و "),CONCATENATE(E16,"، "))))</f>
        <v/>
      </c>
      <c r="BE16" s="2" t="str">
        <f>IF(OR(F16="",F16="-"),"",IF((COUNTA(BE17:BE$100)-COUNTBLANK(BE17:BE$100))=0,F16,IF((COUNTA(BE17:BE$100)-COUNTBLANK(BE17:BE$100))=1,CONCATENATE(F16," و "),CONCATENATE(F16,"، "))))</f>
        <v/>
      </c>
      <c r="BF16" s="2" t="str">
        <f>IF(OR(G16="",G16="-"),"",IF((COUNTA(BF17:BF$100)-COUNTBLANK(BF17:BF$100))=0,G16,IF((COUNTA(BF17:BF$100)-COUNTBLANK(BF17:BF$100))=1,CONCATENATE(G16," و "),CONCATENATE(G16,"، "))))</f>
        <v/>
      </c>
      <c r="BG16" s="2" t="str">
        <f>IF(OR(H16="",H16="-"),"",IF((COUNTA(BG17:BG$100)-COUNTBLANK(BG17:BG$100))=0,H16,IF((COUNTA(BG17:BG$100)-COUNTBLANK(BG17:BG$100))=1,CONCATENATE(H16," و "),CONCATENATE(H16,"، "))))</f>
        <v/>
      </c>
      <c r="BH16" s="2" t="str">
        <f>IF(OR(I16="",I16="-"),"",IF((COUNTA(BH17:BH$100)-COUNTBLANK(BH17:BH$100))=0,I16,IF((COUNTA(BH17:BH$100)-COUNTBLANK(BH17:BH$100))=1,CONCATENATE(I16," و "),CONCATENATE(I16,"، "))))</f>
        <v/>
      </c>
      <c r="BI16" s="2" t="str">
        <f>IF(OR(J16="",J16="-"),"",IF((COUNTA(BI17:BI$100)-COUNTBLANK(BI17:BI$100))=0,J16,IF((COUNTA(BI17:BI$100)-COUNTBLANK(BI17:BI$100))=1,CONCATENATE(J16," و "),CONCATENATE(J16,"، "))))</f>
        <v/>
      </c>
      <c r="BJ16" s="2" t="str">
        <f>IF(M16="","",IF((COUNTA(BJ17:$BJ$100)-COUNTBLANK(BJ17:$BJ$100)&gt;0),CONCATENATE(M16,CHAR(10)),M16))</f>
        <v/>
      </c>
      <c r="BK16" s="6"/>
      <c r="BL16" s="27" t="s">
        <v>147</v>
      </c>
      <c r="BM16" s="2">
        <f t="shared" si="4"/>
        <v>0</v>
      </c>
      <c r="BN16" s="2"/>
      <c r="BO16" s="37"/>
    </row>
    <row r="17" spans="1:67" ht="37.799999999999997" thickBot="1" x14ac:dyDescent="0.35">
      <c r="A17" s="2" t="str">
        <f t="array" ref="A17">IFERROR(INDEX(MainData!$A$2:$A$878,MATCH(0,COUNTIF($A$1:A16,MainData!$A$2:$A$878),0)),"")</f>
        <v/>
      </c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13"/>
      <c r="Z17" s="2"/>
      <c r="AA17" s="2" t="s">
        <v>3</v>
      </c>
      <c r="AB17" s="2"/>
      <c r="AC17" s="2"/>
      <c r="AD17" s="2"/>
      <c r="AE17" s="2"/>
      <c r="AF17" s="2"/>
      <c r="BA17" s="2" t="str">
        <f>IF(OR(B17="",B17="-"),"",IF((COUNTA(BA18:BA$100)-COUNTBLANK(BA18:BA$100))=0,B17,IF((COUNTA(BA18:BA$100)-COUNTBLANK(BA18:BA$100))=1,CONCATENATE(B17," و "),CONCATENATE(B17,"، "))))</f>
        <v/>
      </c>
      <c r="BB17" s="2" t="str">
        <f>IF(OR(C17="",C17="-"),"",IF((COUNTA(BB18:BB$100)-COUNTBLANK(BB18:BB$100))=0,C17,IF((COUNTA(BB18:BB$100)-COUNTBLANK(BB18:BB$100))=1,CONCATENATE(C17," و "),CONCATENATE(C17,"، "))))</f>
        <v/>
      </c>
      <c r="BC17" s="2" t="str">
        <f>IF(OR(D17="",D17="-"),"",IF((COUNTA(BC18:BC$100)-COUNTBLANK(BC18:BC$100))=0,D17,IF((COUNTA(BC18:BC$100)-COUNTBLANK(BC18:BC$100))=1,CONCATENATE(D17," و "),CONCATENATE(D17,"، "))))</f>
        <v/>
      </c>
      <c r="BD17" s="2" t="str">
        <f>IF(OR(E17="",E17="-"),"",IF((COUNTA(BD18:BD$100)-COUNTBLANK(BD18:BD$100))=0,E17,IF((COUNTA(BD18:BD$100)-COUNTBLANK(BD18:BD$100))=1,CONCATENATE(E17," و "),CONCATENATE(E17,"، "))))</f>
        <v/>
      </c>
      <c r="BE17" s="2" t="str">
        <f>IF(OR(F17="",F17="-"),"",IF((COUNTA(BE18:BE$100)-COUNTBLANK(BE18:BE$100))=0,F17,IF((COUNTA(BE18:BE$100)-COUNTBLANK(BE18:BE$100))=1,CONCATENATE(F17," و "),CONCATENATE(F17,"، "))))</f>
        <v/>
      </c>
      <c r="BF17" s="2" t="str">
        <f>IF(OR(G17="",G17="-"),"",IF((COUNTA(BF18:BF$100)-COUNTBLANK(BF18:BF$100))=0,G17,IF((COUNTA(BF18:BF$100)-COUNTBLANK(BF18:BF$100))=1,CONCATENATE(G17," و "),CONCATENATE(G17,"، "))))</f>
        <v/>
      </c>
      <c r="BG17" s="2" t="str">
        <f>IF(OR(H17="",H17="-"),"",IF((COUNTA(BG18:BG$100)-COUNTBLANK(BG18:BG$100))=0,H17,IF((COUNTA(BG18:BG$100)-COUNTBLANK(BG18:BG$100))=1,CONCATENATE(H17," و "),CONCATENATE(H17,"، "))))</f>
        <v/>
      </c>
      <c r="BH17" s="2" t="str">
        <f>IF(OR(I17="",I17="-"),"",IF((COUNTA(BH18:BH$100)-COUNTBLANK(BH18:BH$100))=0,I17,IF((COUNTA(BH18:BH$100)-COUNTBLANK(BH18:BH$100))=1,CONCATENATE(I17," و "),CONCATENATE(I17,"، "))))</f>
        <v/>
      </c>
      <c r="BI17" s="2" t="str">
        <f>IF(OR(J17="",J17="-"),"",IF((COUNTA(BI18:BI$100)-COUNTBLANK(BI18:BI$100))=0,J17,IF((COUNTA(BI18:BI$100)-COUNTBLANK(BI18:BI$100))=1,CONCATENATE(J17," و "),CONCATENATE(J17,"، "))))</f>
        <v/>
      </c>
      <c r="BJ17" s="2" t="str">
        <f>IF(M17="","",IF((COUNTA(BJ18:$BJ$100)-COUNTBLANK(BJ18:$BJ$100)&gt;0),CONCATENATE(M17,CHAR(10)),M17))</f>
        <v/>
      </c>
      <c r="BK17" s="6"/>
      <c r="BL17" s="28" t="s">
        <v>10</v>
      </c>
      <c r="BM17" s="29">
        <f t="shared" si="4"/>
        <v>0</v>
      </c>
      <c r="BN17" s="29"/>
      <c r="BO17" s="38"/>
    </row>
    <row r="18" spans="1:67" ht="56.4" thickBot="1" x14ac:dyDescent="0.35">
      <c r="A18" s="2" t="str">
        <f t="array" ref="A18">IFERROR(INDEX(MainData!$A$2:$A$878,MATCH(0,COUNTIF($A$1:A17,MainData!$A$2:$A$878),0)),"")</f>
        <v/>
      </c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13"/>
      <c r="Z18" s="2"/>
      <c r="AA18" s="2"/>
      <c r="AB18" s="2"/>
      <c r="AC18" s="2"/>
      <c r="AD18" s="2"/>
      <c r="AE18" s="2"/>
      <c r="AF18" s="2"/>
      <c r="BA18" s="2" t="str">
        <f>IF(OR(B18="",B18="-"),"",IF((COUNTA(BA19:BA$100)-COUNTBLANK(BA19:BA$100))=0,B18,IF((COUNTA(BA19:BA$100)-COUNTBLANK(BA19:BA$100))=1,CONCATENATE(B18," و "),CONCATENATE(B18,"، "))))</f>
        <v/>
      </c>
      <c r="BB18" s="2" t="str">
        <f>IF(OR(C18="",C18="-"),"",IF((COUNTA(BB19:BB$100)-COUNTBLANK(BB19:BB$100))=0,C18,IF((COUNTA(BB19:BB$100)-COUNTBLANK(BB19:BB$100))=1,CONCATENATE(C18," و "),CONCATENATE(C18,"، "))))</f>
        <v/>
      </c>
      <c r="BC18" s="2" t="str">
        <f>IF(OR(D18="",D18="-"),"",IF((COUNTA(BC19:BC$100)-COUNTBLANK(BC19:BC$100))=0,D18,IF((COUNTA(BC19:BC$100)-COUNTBLANK(BC19:BC$100))=1,CONCATENATE(D18," و "),CONCATENATE(D18,"، "))))</f>
        <v/>
      </c>
      <c r="BD18" s="2" t="str">
        <f>IF(OR(E18="",E18="-"),"",IF((COUNTA(BD19:BD$100)-COUNTBLANK(BD19:BD$100))=0,E18,IF((COUNTA(BD19:BD$100)-COUNTBLANK(BD19:BD$100))=1,CONCATENATE(E18," و "),CONCATENATE(E18,"، "))))</f>
        <v/>
      </c>
      <c r="BE18" s="2" t="str">
        <f>IF(OR(F18="",F18="-"),"",IF((COUNTA(BE19:BE$100)-COUNTBLANK(BE19:BE$100))=0,F18,IF((COUNTA(BE19:BE$100)-COUNTBLANK(BE19:BE$100))=1,CONCATENATE(F18," و "),CONCATENATE(F18,"، "))))</f>
        <v/>
      </c>
      <c r="BF18" s="2" t="str">
        <f>IF(OR(G18="",G18="-"),"",IF((COUNTA(BF19:BF$100)-COUNTBLANK(BF19:BF$100))=0,G18,IF((COUNTA(BF19:BF$100)-COUNTBLANK(BF19:BF$100))=1,CONCATENATE(G18," و "),CONCATENATE(G18,"، "))))</f>
        <v/>
      </c>
      <c r="BG18" s="2" t="str">
        <f>IF(OR(H18="",H18="-"),"",IF((COUNTA(BG19:BG$100)-COUNTBLANK(BG19:BG$100))=0,H18,IF((COUNTA(BG19:BG$100)-COUNTBLANK(BG19:BG$100))=1,CONCATENATE(H18," و "),CONCATENATE(H18,"، "))))</f>
        <v/>
      </c>
      <c r="BH18" s="2" t="str">
        <f>IF(OR(I18="",I18="-"),"",IF((COUNTA(BH19:BH$100)-COUNTBLANK(BH19:BH$100))=0,I18,IF((COUNTA(BH19:BH$100)-COUNTBLANK(BH19:BH$100))=1,CONCATENATE(I18," و "),CONCATENATE(I18,"، "))))</f>
        <v/>
      </c>
      <c r="BI18" s="2" t="str">
        <f>IF(OR(J18="",J18="-"),"",IF((COUNTA(BI19:BI$100)-COUNTBLANK(BI19:BI$100))=0,J18,IF((COUNTA(BI19:BI$100)-COUNTBLANK(BI19:BI$100))=1,CONCATENATE(J18," و "),CONCATENATE(J18,"، "))))</f>
        <v/>
      </c>
      <c r="BJ18" s="2" t="str">
        <f>IF(M18="","",IF((COUNTA(BJ19:$BJ$100)-COUNTBLANK(BJ19:$BJ$100)&gt;0),CONCATENATE(M18,CHAR(10)),M18))</f>
        <v/>
      </c>
      <c r="BK18" s="6"/>
      <c r="BL18" s="23" t="s">
        <v>157</v>
      </c>
      <c r="BM18" s="24">
        <f t="shared" si="4"/>
        <v>0</v>
      </c>
      <c r="BN18" s="24" t="s">
        <v>283</v>
      </c>
      <c r="BO18" s="35" t="str">
        <f>IF(BM18&gt;0,CONCATENATE(BN18,CHAR(10)),"")</f>
        <v/>
      </c>
    </row>
    <row r="19" spans="1:67" ht="75" thickBot="1" x14ac:dyDescent="0.35">
      <c r="A19" s="2" t="str">
        <f t="array" ref="A19">IFERROR(INDEX(MainData!$A$2:$A$878,MATCH(0,COUNTIF($A$1:A18,MainData!$A$2:$A$878),0)),"")</f>
        <v/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13"/>
      <c r="Z19" s="2"/>
      <c r="AA19" s="2"/>
      <c r="AB19" s="2"/>
      <c r="AC19" s="2"/>
      <c r="AD19" s="2"/>
      <c r="AE19" s="2"/>
      <c r="AF19" s="2"/>
      <c r="BA19" s="2" t="str">
        <f>IF(OR(B19="",B19="-"),"",IF((COUNTA(BA20:BA$100)-COUNTBLANK(BA20:BA$100))=0,B19,IF((COUNTA(BA20:BA$100)-COUNTBLANK(BA20:BA$100))=1,CONCATENATE(B19," و "),CONCATENATE(B19,"، "))))</f>
        <v/>
      </c>
      <c r="BB19" s="2" t="str">
        <f>IF(OR(C19="",C19="-"),"",IF((COUNTA(BB20:BB$100)-COUNTBLANK(BB20:BB$100))=0,C19,IF((COUNTA(BB20:BB$100)-COUNTBLANK(BB20:BB$100))=1,CONCATENATE(C19," و "),CONCATENATE(C19,"، "))))</f>
        <v/>
      </c>
      <c r="BC19" s="2" t="str">
        <f>IF(OR(D19="",D19="-"),"",IF((COUNTA(BC20:BC$100)-COUNTBLANK(BC20:BC$100))=0,D19,IF((COUNTA(BC20:BC$100)-COUNTBLANK(BC20:BC$100))=1,CONCATENATE(D19," و "),CONCATENATE(D19,"، "))))</f>
        <v/>
      </c>
      <c r="BD19" s="2" t="str">
        <f>IF(OR(E19="",E19="-"),"",IF((COUNTA(BD20:BD$100)-COUNTBLANK(BD20:BD$100))=0,E19,IF((COUNTA(BD20:BD$100)-COUNTBLANK(BD20:BD$100))=1,CONCATENATE(E19," و "),CONCATENATE(E19,"، "))))</f>
        <v/>
      </c>
      <c r="BE19" s="2" t="str">
        <f>IF(OR(F19="",F19="-"),"",IF((COUNTA(BE20:BE$100)-COUNTBLANK(BE20:BE$100))=0,F19,IF((COUNTA(BE20:BE$100)-COUNTBLANK(BE20:BE$100))=1,CONCATENATE(F19," و "),CONCATENATE(F19,"، "))))</f>
        <v/>
      </c>
      <c r="BF19" s="2" t="str">
        <f>IF(OR(G19="",G19="-"),"",IF((COUNTA(BF20:BF$100)-COUNTBLANK(BF20:BF$100))=0,G19,IF((COUNTA(BF20:BF$100)-COUNTBLANK(BF20:BF$100))=1,CONCATENATE(G19," و "),CONCATENATE(G19,"، "))))</f>
        <v/>
      </c>
      <c r="BG19" s="2" t="str">
        <f>IF(OR(H19="",H19="-"),"",IF((COUNTA(BG20:BG$100)-COUNTBLANK(BG20:BG$100))=0,H19,IF((COUNTA(BG20:BG$100)-COUNTBLANK(BG20:BG$100))=1,CONCATENATE(H19," و "),CONCATENATE(H19,"، "))))</f>
        <v/>
      </c>
      <c r="BH19" s="2" t="str">
        <f>IF(OR(I19="",I19="-"),"",IF((COUNTA(BH20:BH$100)-COUNTBLANK(BH20:BH$100))=0,I19,IF((COUNTA(BH20:BH$100)-COUNTBLANK(BH20:BH$100))=1,CONCATENATE(I19," و "),CONCATENATE(I19,"، "))))</f>
        <v/>
      </c>
      <c r="BI19" s="2" t="str">
        <f>IF(OR(J19="",J19="-"),"",IF((COUNTA(BI20:BI$100)-COUNTBLANK(BI20:BI$100))=0,J19,IF((COUNTA(BI20:BI$100)-COUNTBLANK(BI20:BI$100))=1,CONCATENATE(J19," و "),CONCATENATE(J19,"، "))))</f>
        <v/>
      </c>
      <c r="BJ19" s="2" t="str">
        <f>IF(M19="","",IF((COUNTA(BJ20:$BJ$100)-COUNTBLANK(BJ20:$BJ$100)&gt;0),CONCATENATE(M19,CHAR(10)),M19))</f>
        <v/>
      </c>
      <c r="BK19" s="6"/>
      <c r="BL19" s="23" t="s">
        <v>184</v>
      </c>
      <c r="BM19" s="24">
        <f t="shared" si="4"/>
        <v>0</v>
      </c>
      <c r="BN19" s="24" t="s">
        <v>280</v>
      </c>
      <c r="BO19" s="35" t="str">
        <f>IF(BM19&gt;0,CONCATENATE(BN19,CHAR(10)),"")</f>
        <v/>
      </c>
    </row>
    <row r="20" spans="1:67" ht="111.6" x14ac:dyDescent="0.3">
      <c r="A20" s="2" t="str">
        <f t="array" ref="A20">IFERROR(INDEX(MainData!$A$2:$A$878,MATCH(0,COUNTIF($A$1:A19,MainData!$A$2:$A$878),0)),"")</f>
        <v/>
      </c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13"/>
      <c r="Z20" s="2"/>
      <c r="AA20" s="2"/>
      <c r="AB20" s="2"/>
      <c r="AC20" s="2"/>
      <c r="AD20" s="2"/>
      <c r="AE20" s="2"/>
      <c r="AF20" s="2"/>
      <c r="BA20" s="2" t="str">
        <f>IF(OR(B20="",B20="-"),"",IF((COUNTA(BA21:BA$100)-COUNTBLANK(BA21:BA$100))=0,B20,IF((COUNTA(BA21:BA$100)-COUNTBLANK(BA21:BA$100))=1,CONCATENATE(B20," و "),CONCATENATE(B20,"، "))))</f>
        <v/>
      </c>
      <c r="BB20" s="2" t="str">
        <f>IF(OR(C20="",C20="-"),"",IF((COUNTA(BB21:BB$100)-COUNTBLANK(BB21:BB$100))=0,C20,IF((COUNTA(BB21:BB$100)-COUNTBLANK(BB21:BB$100))=1,CONCATENATE(C20," و "),CONCATENATE(C20,"، "))))</f>
        <v/>
      </c>
      <c r="BC20" s="2" t="str">
        <f>IF(OR(D20="",D20="-"),"",IF((COUNTA(BC21:BC$100)-COUNTBLANK(BC21:BC$100))=0,D20,IF((COUNTA(BC21:BC$100)-COUNTBLANK(BC21:BC$100))=1,CONCATENATE(D20," و "),CONCATENATE(D20,"، "))))</f>
        <v/>
      </c>
      <c r="BD20" s="2" t="str">
        <f>IF(OR(E20="",E20="-"),"",IF((COUNTA(BD21:BD$100)-COUNTBLANK(BD21:BD$100))=0,E20,IF((COUNTA(BD21:BD$100)-COUNTBLANK(BD21:BD$100))=1,CONCATENATE(E20," و "),CONCATENATE(E20,"، "))))</f>
        <v/>
      </c>
      <c r="BE20" s="2" t="str">
        <f>IF(OR(F20="",F20="-"),"",IF((COUNTA(BE21:BE$100)-COUNTBLANK(BE21:BE$100))=0,F20,IF((COUNTA(BE21:BE$100)-COUNTBLANK(BE21:BE$100))=1,CONCATENATE(F20," و "),CONCATENATE(F20,"، "))))</f>
        <v/>
      </c>
      <c r="BF20" s="2" t="str">
        <f>IF(OR(G20="",G20="-"),"",IF((COUNTA(BF21:BF$100)-COUNTBLANK(BF21:BF$100))=0,G20,IF((COUNTA(BF21:BF$100)-COUNTBLANK(BF21:BF$100))=1,CONCATENATE(G20," و "),CONCATENATE(G20,"، "))))</f>
        <v/>
      </c>
      <c r="BG20" s="2" t="str">
        <f>IF(OR(H20="",H20="-"),"",IF((COUNTA(BG21:BG$100)-COUNTBLANK(BG21:BG$100))=0,H20,IF((COUNTA(BG21:BG$100)-COUNTBLANK(BG21:BG$100))=1,CONCATENATE(H20," و "),CONCATENATE(H20,"، "))))</f>
        <v/>
      </c>
      <c r="BH20" s="2" t="str">
        <f>IF(OR(I20="",I20="-"),"",IF((COUNTA(BH21:BH$100)-COUNTBLANK(BH21:BH$100))=0,I20,IF((COUNTA(BH21:BH$100)-COUNTBLANK(BH21:BH$100))=1,CONCATENATE(I20," و "),CONCATENATE(I20,"، "))))</f>
        <v/>
      </c>
      <c r="BI20" s="2" t="str">
        <f>IF(OR(J20="",J20="-"),"",IF((COUNTA(BI21:BI$100)-COUNTBLANK(BI21:BI$100))=0,J20,IF((COUNTA(BI21:BI$100)-COUNTBLANK(BI21:BI$100))=1,CONCATENATE(J20," و "),CONCATENATE(J20,"، "))))</f>
        <v/>
      </c>
      <c r="BJ20" s="2" t="str">
        <f>IF(M20="","",IF((COUNTA(BJ21:$BJ$100)-COUNTBLANK(BJ21:$BJ$100)&gt;0),CONCATENATE(M20,CHAR(10)),M20))</f>
        <v/>
      </c>
      <c r="BK20" s="6"/>
      <c r="BL20" s="25" t="s">
        <v>189</v>
      </c>
      <c r="BM20" s="33">
        <f t="shared" si="4"/>
        <v>0</v>
      </c>
      <c r="BN20" s="26" t="s">
        <v>284</v>
      </c>
      <c r="BO20" s="35" t="str">
        <f>IF(SUM(BM20:BM22)&gt;0,CONCATENATE(BN20,CHAR(10)),"")</f>
        <v/>
      </c>
    </row>
    <row r="21" spans="1:67" x14ac:dyDescent="0.3">
      <c r="A21" s="2" t="str">
        <f t="array" ref="A21">IFERROR(INDEX(MainData!$A$2:$A$878,MATCH(0,COUNTIF($A$1:A20,MainData!$A$2:$A$878),0)),"")</f>
        <v/>
      </c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13"/>
      <c r="Z21" s="2"/>
      <c r="AA21" s="2"/>
      <c r="AB21" s="2"/>
      <c r="AC21" s="2"/>
      <c r="AD21" s="2"/>
      <c r="AE21" s="2"/>
      <c r="AF21" s="2"/>
      <c r="BA21" s="2" t="str">
        <f>IF(OR(B21="",B21="-"),"",IF((COUNTA(BA22:BA$100)-COUNTBLANK(BA22:BA$100))=0,B21,IF((COUNTA(BA22:BA$100)-COUNTBLANK(BA22:BA$100))=1,CONCATENATE(B21," و "),CONCATENATE(B21,"، "))))</f>
        <v/>
      </c>
      <c r="BB21" s="2" t="str">
        <f>IF(OR(C21="",C21="-"),"",IF((COUNTA(BB22:BB$100)-COUNTBLANK(BB22:BB$100))=0,C21,IF((COUNTA(BB22:BB$100)-COUNTBLANK(BB22:BB$100))=1,CONCATENATE(C21," و "),CONCATENATE(C21,"، "))))</f>
        <v/>
      </c>
      <c r="BC21" s="2" t="str">
        <f>IF(OR(D21="",D21="-"),"",IF((COUNTA(BC22:BC$100)-COUNTBLANK(BC22:BC$100))=0,D21,IF((COUNTA(BC22:BC$100)-COUNTBLANK(BC22:BC$100))=1,CONCATENATE(D21," و "),CONCATENATE(D21,"، "))))</f>
        <v/>
      </c>
      <c r="BD21" s="2" t="str">
        <f>IF(OR(E21="",E21="-"),"",IF((COUNTA(BD22:BD$100)-COUNTBLANK(BD22:BD$100))=0,E21,IF((COUNTA(BD22:BD$100)-COUNTBLANK(BD22:BD$100))=1,CONCATENATE(E21," و "),CONCATENATE(E21,"، "))))</f>
        <v/>
      </c>
      <c r="BE21" s="2" t="str">
        <f>IF(OR(F21="",F21="-"),"",IF((COUNTA(BE22:BE$100)-COUNTBLANK(BE22:BE$100))=0,F21,IF((COUNTA(BE22:BE$100)-COUNTBLANK(BE22:BE$100))=1,CONCATENATE(F21," و "),CONCATENATE(F21,"، "))))</f>
        <v/>
      </c>
      <c r="BF21" s="2" t="str">
        <f>IF(OR(G21="",G21="-"),"",IF((COUNTA(BF22:BF$100)-COUNTBLANK(BF22:BF$100))=0,G21,IF((COUNTA(BF22:BF$100)-COUNTBLANK(BF22:BF$100))=1,CONCATENATE(G21," و "),CONCATENATE(G21,"، "))))</f>
        <v/>
      </c>
      <c r="BG21" s="2" t="str">
        <f>IF(OR(H21="",H21="-"),"",IF((COUNTA(BG22:BG$100)-COUNTBLANK(BG22:BG$100))=0,H21,IF((COUNTA(BG22:BG$100)-COUNTBLANK(BG22:BG$100))=1,CONCATENATE(H21," و "),CONCATENATE(H21,"، "))))</f>
        <v/>
      </c>
      <c r="BH21" s="2" t="str">
        <f>IF(OR(I21="",I21="-"),"",IF((COUNTA(BH22:BH$100)-COUNTBLANK(BH22:BH$100))=0,I21,IF((COUNTA(BH22:BH$100)-COUNTBLANK(BH22:BH$100))=1,CONCATENATE(I21," و "),CONCATENATE(I21,"، "))))</f>
        <v/>
      </c>
      <c r="BI21" s="2" t="str">
        <f>IF(OR(J21="",J21="-"),"",IF((COUNTA(BI22:BI$100)-COUNTBLANK(BI22:BI$100))=0,J21,IF((COUNTA(BI22:BI$100)-COUNTBLANK(BI22:BI$100))=1,CONCATENATE(J21," و "),CONCATENATE(J21,"، "))))</f>
        <v/>
      </c>
      <c r="BJ21" s="2" t="str">
        <f>IF(M21="","",IF((COUNTA(BJ22:$BJ$100)-COUNTBLANK(BJ22:$BJ$100)&gt;0),CONCATENATE(M21,CHAR(10)),M21))</f>
        <v/>
      </c>
      <c r="BK21" s="6"/>
      <c r="BL21" s="31" t="s">
        <v>186</v>
      </c>
      <c r="BM21" s="2">
        <f t="shared" si="4"/>
        <v>0</v>
      </c>
      <c r="BN21" s="32"/>
      <c r="BO21" s="39"/>
    </row>
    <row r="22" spans="1:67" ht="19.2" thickBot="1" x14ac:dyDescent="0.35">
      <c r="A22" s="2" t="str">
        <f t="array" ref="A22">IFERROR(INDEX(MainData!$A$2:$A$878,MATCH(0,COUNTIF($A$1:A21,MainData!$A$2:$A$878),0)),"")</f>
        <v/>
      </c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13"/>
      <c r="Z22" s="2"/>
      <c r="AA22" s="2"/>
      <c r="AB22" s="2"/>
      <c r="AC22" s="2"/>
      <c r="AD22" s="2"/>
      <c r="AE22" s="2"/>
      <c r="AF22" s="2"/>
      <c r="BA22" s="2" t="str">
        <f>IF(OR(B22="",B22="-"),"",IF((COUNTA(BA23:BA$100)-COUNTBLANK(BA23:BA$100))=0,B22,IF((COUNTA(BA23:BA$100)-COUNTBLANK(BA23:BA$100))=1,CONCATENATE(B22," و "),CONCATENATE(B22,"، "))))</f>
        <v/>
      </c>
      <c r="BB22" s="2" t="str">
        <f>IF(OR(C22="",C22="-"),"",IF((COUNTA(BB23:BB$100)-COUNTBLANK(BB23:BB$100))=0,C22,IF((COUNTA(BB23:BB$100)-COUNTBLANK(BB23:BB$100))=1,CONCATENATE(C22," و "),CONCATENATE(C22,"، "))))</f>
        <v/>
      </c>
      <c r="BC22" s="2" t="str">
        <f>IF(OR(D22="",D22="-"),"",IF((COUNTA(BC23:BC$100)-COUNTBLANK(BC23:BC$100))=0,D22,IF((COUNTA(BC23:BC$100)-COUNTBLANK(BC23:BC$100))=1,CONCATENATE(D22," و "),CONCATENATE(D22,"، "))))</f>
        <v/>
      </c>
      <c r="BD22" s="2" t="str">
        <f>IF(OR(E22="",E22="-"),"",IF((COUNTA(BD23:BD$100)-COUNTBLANK(BD23:BD$100))=0,E22,IF((COUNTA(BD23:BD$100)-COUNTBLANK(BD23:BD$100))=1,CONCATENATE(E22," و "),CONCATENATE(E22,"، "))))</f>
        <v/>
      </c>
      <c r="BE22" s="2" t="str">
        <f>IF(OR(F22="",F22="-"),"",IF((COUNTA(BE23:BE$100)-COUNTBLANK(BE23:BE$100))=0,F22,IF((COUNTA(BE23:BE$100)-COUNTBLANK(BE23:BE$100))=1,CONCATENATE(F22," و "),CONCATENATE(F22,"، "))))</f>
        <v/>
      </c>
      <c r="BF22" s="2" t="str">
        <f>IF(OR(G22="",G22="-"),"",IF((COUNTA(BF23:BF$100)-COUNTBLANK(BF23:BF$100))=0,G22,IF((COUNTA(BF23:BF$100)-COUNTBLANK(BF23:BF$100))=1,CONCATENATE(G22," و "),CONCATENATE(G22,"، "))))</f>
        <v/>
      </c>
      <c r="BG22" s="2" t="str">
        <f>IF(OR(H22="",H22="-"),"",IF((COUNTA(BG23:BG$100)-COUNTBLANK(BG23:BG$100))=0,H22,IF((COUNTA(BG23:BG$100)-COUNTBLANK(BG23:BG$100))=1,CONCATENATE(H22," و "),CONCATENATE(H22,"، "))))</f>
        <v/>
      </c>
      <c r="BH22" s="2" t="str">
        <f>IF(OR(I22="",I22="-"),"",IF((COUNTA(BH23:BH$100)-COUNTBLANK(BH23:BH$100))=0,I22,IF((COUNTA(BH23:BH$100)-COUNTBLANK(BH23:BH$100))=1,CONCATENATE(I22," و "),CONCATENATE(I22,"، "))))</f>
        <v/>
      </c>
      <c r="BI22" s="2" t="str">
        <f>IF(OR(J22="",J22="-"),"",IF((COUNTA(BI23:BI$100)-COUNTBLANK(BI23:BI$100))=0,J22,IF((COUNTA(BI23:BI$100)-COUNTBLANK(BI23:BI$100))=1,CONCATENATE(J22," و "),CONCATENATE(J22,"، "))))</f>
        <v/>
      </c>
      <c r="BJ22" s="2" t="str">
        <f>IF(M22="","",IF((COUNTA(BJ23:$BJ$100)-COUNTBLANK(BJ23:$BJ$100)&gt;0),CONCATENATE(M22,CHAR(10)),M22))</f>
        <v/>
      </c>
      <c r="BK22" s="6"/>
      <c r="BL22" s="28" t="s">
        <v>15</v>
      </c>
      <c r="BM22" s="29">
        <f t="shared" si="4"/>
        <v>0</v>
      </c>
      <c r="BN22" s="29"/>
      <c r="BO22" s="38"/>
    </row>
    <row r="23" spans="1:67" ht="37.799999999999997" thickBot="1" x14ac:dyDescent="0.35">
      <c r="A23" s="2" t="str">
        <f t="array" ref="A23">IFERROR(INDEX(MainData!$A$2:$A$878,MATCH(0,COUNTIF($A$1:A22,MainData!$A$2:$A$878),0)),"")</f>
        <v/>
      </c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13"/>
      <c r="Z23" s="2"/>
      <c r="AA23" s="2"/>
      <c r="AB23" s="2"/>
      <c r="AC23" s="2"/>
      <c r="AD23" s="2"/>
      <c r="AE23" s="2"/>
      <c r="AF23" s="2"/>
      <c r="BA23" s="2" t="str">
        <f>IF(OR(B23="",B23="-"),"",IF((COUNTA(BA24:BA$100)-COUNTBLANK(BA24:BA$100))=0,B23,IF((COUNTA(BA24:BA$100)-COUNTBLANK(BA24:BA$100))=1,CONCATENATE(B23," و "),CONCATENATE(B23,"، "))))</f>
        <v/>
      </c>
      <c r="BB23" s="2" t="str">
        <f>IF(OR(C23="",C23="-"),"",IF((COUNTA(BB24:BB$100)-COUNTBLANK(BB24:BB$100))=0,C23,IF((COUNTA(BB24:BB$100)-COUNTBLANK(BB24:BB$100))=1,CONCATENATE(C23," و "),CONCATENATE(C23,"، "))))</f>
        <v/>
      </c>
      <c r="BC23" s="2" t="str">
        <f>IF(OR(D23="",D23="-"),"",IF((COUNTA(BC24:BC$100)-COUNTBLANK(BC24:BC$100))=0,D23,IF((COUNTA(BC24:BC$100)-COUNTBLANK(BC24:BC$100))=1,CONCATENATE(D23," و "),CONCATENATE(D23,"، "))))</f>
        <v/>
      </c>
      <c r="BD23" s="2" t="str">
        <f>IF(OR(E23="",E23="-"),"",IF((COUNTA(BD24:BD$100)-COUNTBLANK(BD24:BD$100))=0,E23,IF((COUNTA(BD24:BD$100)-COUNTBLANK(BD24:BD$100))=1,CONCATENATE(E23," و "),CONCATENATE(E23,"، "))))</f>
        <v/>
      </c>
      <c r="BE23" s="2" t="str">
        <f>IF(OR(F23="",F23="-"),"",IF((COUNTA(BE24:BE$100)-COUNTBLANK(BE24:BE$100))=0,F23,IF((COUNTA(BE24:BE$100)-COUNTBLANK(BE24:BE$100))=1,CONCATENATE(F23," و "),CONCATENATE(F23,"، "))))</f>
        <v/>
      </c>
      <c r="BF23" s="2" t="str">
        <f>IF(OR(G23="",G23="-"),"",IF((COUNTA(BF24:BF$100)-COUNTBLANK(BF24:BF$100))=0,G23,IF((COUNTA(BF24:BF$100)-COUNTBLANK(BF24:BF$100))=1,CONCATENATE(G23," و "),CONCATENATE(G23,"، "))))</f>
        <v/>
      </c>
      <c r="BG23" s="2" t="str">
        <f>IF(OR(H23="",H23="-"),"",IF((COUNTA(BG24:BG$100)-COUNTBLANK(BG24:BG$100))=0,H23,IF((COUNTA(BG24:BG$100)-COUNTBLANK(BG24:BG$100))=1,CONCATENATE(H23," و "),CONCATENATE(H23,"، "))))</f>
        <v/>
      </c>
      <c r="BH23" s="2" t="str">
        <f>IF(OR(I23="",I23="-"),"",IF((COUNTA(BH24:BH$100)-COUNTBLANK(BH24:BH$100))=0,I23,IF((COUNTA(BH24:BH$100)-COUNTBLANK(BH24:BH$100))=1,CONCATENATE(I23," و "),CONCATENATE(I23,"، "))))</f>
        <v/>
      </c>
      <c r="BI23" s="2" t="str">
        <f>IF(OR(J23="",J23="-"),"",IF((COUNTA(BI24:BI$100)-COUNTBLANK(BI24:BI$100))=0,J23,IF((COUNTA(BI24:BI$100)-COUNTBLANK(BI24:BI$100))=1,CONCATENATE(J23," و "),CONCATENATE(J23,"، "))))</f>
        <v/>
      </c>
      <c r="BJ23" s="2" t="str">
        <f>IF(M23="","",IF((COUNTA(BJ24:$BJ$100)-COUNTBLANK(BJ24:$BJ$100)&gt;0),CONCATENATE(M23,CHAR(10)),M23))</f>
        <v/>
      </c>
      <c r="BK23" s="6"/>
      <c r="BL23" s="23" t="s">
        <v>186</v>
      </c>
      <c r="BM23" s="24">
        <f t="shared" si="4"/>
        <v>0</v>
      </c>
      <c r="BN23" s="30" t="s">
        <v>285</v>
      </c>
      <c r="BO23" s="35" t="str">
        <f>IF(BM23&gt;0,CONCATENATE(BN23,CHAR(10)),"")</f>
        <v/>
      </c>
    </row>
    <row r="24" spans="1:67" x14ac:dyDescent="0.3">
      <c r="A24" s="2" t="str">
        <f t="array" ref="A24">IFERROR(INDEX(MainData!$A$2:$A$878,MATCH(0,COUNTIF($A$1:A23,MainData!$A$2:$A$878),0)),"")</f>
        <v/>
      </c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13"/>
      <c r="Z24" s="2"/>
      <c r="AA24" s="2"/>
      <c r="AB24" s="2"/>
      <c r="AC24" s="2"/>
      <c r="AD24" s="2"/>
      <c r="AE24" s="2"/>
      <c r="AF24" s="2"/>
      <c r="BA24" s="2" t="str">
        <f>IF(OR(B24="",B24="-"),"",IF((COUNTA(BA25:BA$100)-COUNTBLANK(BA25:BA$100))=0,B24,IF((COUNTA(BA25:BA$100)-COUNTBLANK(BA25:BA$100))=1,CONCATENATE(B24," و "),CONCATENATE(B24,"، "))))</f>
        <v/>
      </c>
      <c r="BB24" s="2" t="str">
        <f>IF(OR(C24="",C24="-"),"",IF((COUNTA(BB25:BB$100)-COUNTBLANK(BB25:BB$100))=0,C24,IF((COUNTA(BB25:BB$100)-COUNTBLANK(BB25:BB$100))=1,CONCATENATE(C24," و "),CONCATENATE(C24,"، "))))</f>
        <v/>
      </c>
      <c r="BC24" s="2" t="str">
        <f>IF(OR(D24="",D24="-"),"",IF((COUNTA(BC25:BC$100)-COUNTBLANK(BC25:BC$100))=0,D24,IF((COUNTA(BC25:BC$100)-COUNTBLANK(BC25:BC$100))=1,CONCATENATE(D24," و "),CONCATENATE(D24,"، "))))</f>
        <v/>
      </c>
      <c r="BD24" s="2" t="str">
        <f>IF(OR(E24="",E24="-"),"",IF((COUNTA(BD25:BD$100)-COUNTBLANK(BD25:BD$100))=0,E24,IF((COUNTA(BD25:BD$100)-COUNTBLANK(BD25:BD$100))=1,CONCATENATE(E24," و "),CONCATENATE(E24,"، "))))</f>
        <v/>
      </c>
      <c r="BE24" s="2" t="str">
        <f>IF(OR(F24="",F24="-"),"",IF((COUNTA(BE25:BE$100)-COUNTBLANK(BE25:BE$100))=0,F24,IF((COUNTA(BE25:BE$100)-COUNTBLANK(BE25:BE$100))=1,CONCATENATE(F24," و "),CONCATENATE(F24,"، "))))</f>
        <v/>
      </c>
      <c r="BF24" s="2" t="str">
        <f>IF(OR(G24="",G24="-"),"",IF((COUNTA(BF25:BF$100)-COUNTBLANK(BF25:BF$100))=0,G24,IF((COUNTA(BF25:BF$100)-COUNTBLANK(BF25:BF$100))=1,CONCATENATE(G24," و "),CONCATENATE(G24,"، "))))</f>
        <v/>
      </c>
      <c r="BG24" s="2" t="str">
        <f>IF(OR(H24="",H24="-"),"",IF((COUNTA(BG25:BG$100)-COUNTBLANK(BG25:BG$100))=0,H24,IF((COUNTA(BG25:BG$100)-COUNTBLANK(BG25:BG$100))=1,CONCATENATE(H24," و "),CONCATENATE(H24,"، "))))</f>
        <v/>
      </c>
      <c r="BH24" s="2" t="str">
        <f>IF(OR(I24="",I24="-"),"",IF((COUNTA(BH25:BH$100)-COUNTBLANK(BH25:BH$100))=0,I24,IF((COUNTA(BH25:BH$100)-COUNTBLANK(BH25:BH$100))=1,CONCATENATE(I24," و "),CONCATENATE(I24,"، "))))</f>
        <v/>
      </c>
      <c r="BI24" s="2" t="str">
        <f>IF(OR(J24="",J24="-"),"",IF((COUNTA(BI25:BI$100)-COUNTBLANK(BI25:BI$100))=0,J24,IF((COUNTA(BI25:BI$100)-COUNTBLANK(BI25:BI$100))=1,CONCATENATE(J24," و "),CONCATENATE(J24,"، "))))</f>
        <v/>
      </c>
      <c r="BJ24" s="2" t="str">
        <f>IF(M24="","",IF((COUNTA(BJ25:$BJ$100)-COUNTBLANK(BJ25:$BJ$100)&gt;0),CONCATENATE(M24,CHAR(10)),M24))</f>
        <v/>
      </c>
      <c r="BK24" s="6"/>
      <c r="BL24" s="26"/>
      <c r="BM24" s="26">
        <f t="shared" si="4"/>
        <v>1</v>
      </c>
      <c r="BN24" s="26"/>
      <c r="BO24" s="40">
        <f>IF(BM24&gt;0,BN24,"")</f>
        <v>0</v>
      </c>
    </row>
    <row r="25" spans="1:67" x14ac:dyDescent="0.3">
      <c r="A25" s="2" t="str">
        <f t="array" ref="A25">IFERROR(INDEX(MainData!$A$2:$A$878,MATCH(0,COUNTIF($A$1:A24,MainData!$A$2:$A$878),0)),"")</f>
        <v/>
      </c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13"/>
      <c r="Z25" s="2"/>
      <c r="AA25" s="2"/>
      <c r="AB25" s="2"/>
      <c r="AC25" s="2"/>
      <c r="AD25" s="2"/>
      <c r="AE25" s="2"/>
      <c r="AF25" s="2"/>
      <c r="BA25" s="2" t="str">
        <f>IF(OR(B25="",B25="-"),"",IF((COUNTA(BA26:BA$100)-COUNTBLANK(BA26:BA$100))=0,B25,IF((COUNTA(BA26:BA$100)-COUNTBLANK(BA26:BA$100))=1,CONCATENATE(B25," و "),CONCATENATE(B25,"، "))))</f>
        <v/>
      </c>
      <c r="BB25" s="2" t="str">
        <f>IF(OR(C25="",C25="-"),"",IF((COUNTA(BB26:BB$100)-COUNTBLANK(BB26:BB$100))=0,C25,IF((COUNTA(BB26:BB$100)-COUNTBLANK(BB26:BB$100))=1,CONCATENATE(C25," و "),CONCATENATE(C25,"، "))))</f>
        <v/>
      </c>
      <c r="BC25" s="2" t="str">
        <f>IF(OR(D25="",D25="-"),"",IF((COUNTA(BC26:BC$100)-COUNTBLANK(BC26:BC$100))=0,D25,IF((COUNTA(BC26:BC$100)-COUNTBLANK(BC26:BC$100))=1,CONCATENATE(D25," و "),CONCATENATE(D25,"، "))))</f>
        <v/>
      </c>
      <c r="BD25" s="2" t="str">
        <f>IF(OR(E25="",E25="-"),"",IF((COUNTA(BD26:BD$100)-COUNTBLANK(BD26:BD$100))=0,E25,IF((COUNTA(BD26:BD$100)-COUNTBLANK(BD26:BD$100))=1,CONCATENATE(E25," و "),CONCATENATE(E25,"، "))))</f>
        <v/>
      </c>
      <c r="BE25" s="2" t="str">
        <f>IF(OR(F25="",F25="-"),"",IF((COUNTA(BE26:BE$100)-COUNTBLANK(BE26:BE$100))=0,F25,IF((COUNTA(BE26:BE$100)-COUNTBLANK(BE26:BE$100))=1,CONCATENATE(F25," و "),CONCATENATE(F25,"، "))))</f>
        <v/>
      </c>
      <c r="BF25" s="2" t="str">
        <f>IF(OR(G25="",G25="-"),"",IF((COUNTA(BF26:BF$100)-COUNTBLANK(BF26:BF$100))=0,G25,IF((COUNTA(BF26:BF$100)-COUNTBLANK(BF26:BF$100))=1,CONCATENATE(G25," و "),CONCATENATE(G25,"، "))))</f>
        <v/>
      </c>
      <c r="BG25" s="2" t="str">
        <f>IF(OR(H25="",H25="-"),"",IF((COUNTA(BG26:BG$100)-COUNTBLANK(BG26:BG$100))=0,H25,IF((COUNTA(BG26:BG$100)-COUNTBLANK(BG26:BG$100))=1,CONCATENATE(H25," و "),CONCATENATE(H25,"، "))))</f>
        <v/>
      </c>
      <c r="BH25" s="2" t="str">
        <f>IF(OR(I25="",I25="-"),"",IF((COUNTA(BH26:BH$100)-COUNTBLANK(BH26:BH$100))=0,I25,IF((COUNTA(BH26:BH$100)-COUNTBLANK(BH26:BH$100))=1,CONCATENATE(I25," و "),CONCATENATE(I25,"، "))))</f>
        <v/>
      </c>
      <c r="BI25" s="2" t="str">
        <f>IF(OR(J25="",J25="-"),"",IF((COUNTA(BI26:BI$100)-COUNTBLANK(BI26:BI$100))=0,J25,IF((COUNTA(BI26:BI$100)-COUNTBLANK(BI26:BI$100))=1,CONCATENATE(J25," و "),CONCATENATE(J25,"، "))))</f>
        <v/>
      </c>
      <c r="BJ25" s="2" t="str">
        <f>IF(M25="","",IF((COUNTA(BJ26:$BJ$100)-COUNTBLANK(BJ26:$BJ$100)&gt;0),CONCATENATE(M25,CHAR(10)),M25))</f>
        <v/>
      </c>
      <c r="BK25" s="6"/>
      <c r="BL25" s="22"/>
      <c r="BM25" s="22">
        <f t="shared" si="4"/>
        <v>1</v>
      </c>
      <c r="BN25" s="22"/>
      <c r="BO25" s="41">
        <f t="shared" ref="BO25:BO29" si="5">IF(BM25&gt;0,BN25,"")</f>
        <v>0</v>
      </c>
    </row>
    <row r="26" spans="1:67" x14ac:dyDescent="0.3">
      <c r="A26" s="2" t="str">
        <f t="array" ref="A26">IFERROR(INDEX(MainData!$A$2:$A$878,MATCH(0,COUNTIF($A$1:A25,MainData!$A$2:$A$878),0)),"")</f>
        <v/>
      </c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13"/>
      <c r="Z26" s="2"/>
      <c r="AA26" s="2"/>
      <c r="AB26" s="2"/>
      <c r="AC26" s="2"/>
      <c r="AD26" s="2"/>
      <c r="AE26" s="2"/>
      <c r="AF26" s="2"/>
      <c r="BA26" s="2" t="str">
        <f>IF(OR(B26="",B26="-"),"",IF((COUNTA(BA27:BA$100)-COUNTBLANK(BA27:BA$100))=0,B26,IF((COUNTA(BA27:BA$100)-COUNTBLANK(BA27:BA$100))=1,CONCATENATE(B26," و "),CONCATENATE(B26,"، "))))</f>
        <v/>
      </c>
      <c r="BB26" s="2" t="str">
        <f>IF(OR(C26="",C26="-"),"",IF((COUNTA(BB27:BB$100)-COUNTBLANK(BB27:BB$100))=0,C26,IF((COUNTA(BB27:BB$100)-COUNTBLANK(BB27:BB$100))=1,CONCATENATE(C26," و "),CONCATENATE(C26,"، "))))</f>
        <v/>
      </c>
      <c r="BC26" s="2" t="str">
        <f>IF(OR(D26="",D26="-"),"",IF((COUNTA(BC27:BC$100)-COUNTBLANK(BC27:BC$100))=0,D26,IF((COUNTA(BC27:BC$100)-COUNTBLANK(BC27:BC$100))=1,CONCATENATE(D26," و "),CONCATENATE(D26,"، "))))</f>
        <v/>
      </c>
      <c r="BD26" s="2" t="str">
        <f>IF(OR(E26="",E26="-"),"",IF((COUNTA(BD27:BD$100)-COUNTBLANK(BD27:BD$100))=0,E26,IF((COUNTA(BD27:BD$100)-COUNTBLANK(BD27:BD$100))=1,CONCATENATE(E26," و "),CONCATENATE(E26,"، "))))</f>
        <v/>
      </c>
      <c r="BE26" s="2" t="str">
        <f>IF(OR(F26="",F26="-"),"",IF((COUNTA(BE27:BE$100)-COUNTBLANK(BE27:BE$100))=0,F26,IF((COUNTA(BE27:BE$100)-COUNTBLANK(BE27:BE$100))=1,CONCATENATE(F26," و "),CONCATENATE(F26,"، "))))</f>
        <v/>
      </c>
      <c r="BF26" s="2" t="str">
        <f>IF(OR(G26="",G26="-"),"",IF((COUNTA(BF27:BF$100)-COUNTBLANK(BF27:BF$100))=0,G26,IF((COUNTA(BF27:BF$100)-COUNTBLANK(BF27:BF$100))=1,CONCATENATE(G26," و "),CONCATENATE(G26,"، "))))</f>
        <v/>
      </c>
      <c r="BG26" s="2" t="str">
        <f>IF(OR(H26="",H26="-"),"",IF((COUNTA(BG27:BG$100)-COUNTBLANK(BG27:BG$100))=0,H26,IF((COUNTA(BG27:BG$100)-COUNTBLANK(BG27:BG$100))=1,CONCATENATE(H26," و "),CONCATENATE(H26,"، "))))</f>
        <v/>
      </c>
      <c r="BH26" s="2" t="str">
        <f>IF(OR(I26="",I26="-"),"",IF((COUNTA(BH27:BH$100)-COUNTBLANK(BH27:BH$100))=0,I26,IF((COUNTA(BH27:BH$100)-COUNTBLANK(BH27:BH$100))=1,CONCATENATE(I26," و "),CONCATENATE(I26,"، "))))</f>
        <v/>
      </c>
      <c r="BI26" s="2" t="str">
        <f>IF(OR(J26="",J26="-"),"",IF((COUNTA(BI27:BI$100)-COUNTBLANK(BI27:BI$100))=0,J26,IF((COUNTA(BI27:BI$100)-COUNTBLANK(BI27:BI$100))=1,CONCATENATE(J26," و "),CONCATENATE(J26,"، "))))</f>
        <v/>
      </c>
      <c r="BJ26" s="2" t="str">
        <f>IF(M26="","",IF((COUNTA(BJ27:$BJ$100)-COUNTBLANK(BJ27:$BJ$100)&gt;0),CONCATENATE(M26,CHAR(10)),M26))</f>
        <v/>
      </c>
      <c r="BK26" s="6"/>
      <c r="BL26" s="2"/>
      <c r="BM26" s="2">
        <f t="shared" si="4"/>
        <v>1</v>
      </c>
      <c r="BN26" s="2"/>
      <c r="BO26" s="13">
        <f t="shared" si="5"/>
        <v>0</v>
      </c>
    </row>
    <row r="27" spans="1:67" x14ac:dyDescent="0.3">
      <c r="A27" s="2" t="str">
        <f t="array" ref="A27">IFERROR(INDEX(MainData!$A$2:$A$878,MATCH(0,COUNTIF($A$1:A26,MainData!$A$2:$A$878),0)),"")</f>
        <v/>
      </c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13"/>
      <c r="Z27" s="2"/>
      <c r="AA27" s="2"/>
      <c r="AB27" s="2"/>
      <c r="AC27" s="2"/>
      <c r="AD27" s="2"/>
      <c r="AE27" s="2"/>
      <c r="AF27" s="2"/>
      <c r="BA27" s="2" t="str">
        <f>IF(OR(B27="",B27="-"),"",IF((COUNTA(BA28:BA$100)-COUNTBLANK(BA28:BA$100))=0,B27,IF((COUNTA(BA28:BA$100)-COUNTBLANK(BA28:BA$100))=1,CONCATENATE(B27," و "),CONCATENATE(B27,"، "))))</f>
        <v/>
      </c>
      <c r="BB27" s="2" t="str">
        <f>IF(OR(C27="",C27="-"),"",IF((COUNTA(BB28:BB$100)-COUNTBLANK(BB28:BB$100))=0,C27,IF((COUNTA(BB28:BB$100)-COUNTBLANK(BB28:BB$100))=1,CONCATENATE(C27," و "),CONCATENATE(C27,"، "))))</f>
        <v/>
      </c>
      <c r="BC27" s="2" t="str">
        <f>IF(OR(D27="",D27="-"),"",IF((COUNTA(BC28:BC$100)-COUNTBLANK(BC28:BC$100))=0,D27,IF((COUNTA(BC28:BC$100)-COUNTBLANK(BC28:BC$100))=1,CONCATENATE(D27," و "),CONCATENATE(D27,"، "))))</f>
        <v/>
      </c>
      <c r="BD27" s="2" t="str">
        <f>IF(OR(E27="",E27="-"),"",IF((COUNTA(BD28:BD$100)-COUNTBLANK(BD28:BD$100))=0,E27,IF((COUNTA(BD28:BD$100)-COUNTBLANK(BD28:BD$100))=1,CONCATENATE(E27," و "),CONCATENATE(E27,"، "))))</f>
        <v/>
      </c>
      <c r="BE27" s="2" t="str">
        <f>IF(OR(F27="",F27="-"),"",IF((COUNTA(BE28:BE$100)-COUNTBLANK(BE28:BE$100))=0,F27,IF((COUNTA(BE28:BE$100)-COUNTBLANK(BE28:BE$100))=1,CONCATENATE(F27," و "),CONCATENATE(F27,"، "))))</f>
        <v/>
      </c>
      <c r="BF27" s="2" t="str">
        <f>IF(OR(G27="",G27="-"),"",IF((COUNTA(BF28:BF$100)-COUNTBLANK(BF28:BF$100))=0,G27,IF((COUNTA(BF28:BF$100)-COUNTBLANK(BF28:BF$100))=1,CONCATENATE(G27," و "),CONCATENATE(G27,"، "))))</f>
        <v/>
      </c>
      <c r="BG27" s="2" t="str">
        <f>IF(OR(H27="",H27="-"),"",IF((COUNTA(BG28:BG$100)-COUNTBLANK(BG28:BG$100))=0,H27,IF((COUNTA(BG28:BG$100)-COUNTBLANK(BG28:BG$100))=1,CONCATENATE(H27," و "),CONCATENATE(H27,"، "))))</f>
        <v/>
      </c>
      <c r="BH27" s="2" t="str">
        <f>IF(OR(I27="",I27="-"),"",IF((COUNTA(BH28:BH$100)-COUNTBLANK(BH28:BH$100))=0,I27,IF((COUNTA(BH28:BH$100)-COUNTBLANK(BH28:BH$100))=1,CONCATENATE(I27," و "),CONCATENATE(I27,"، "))))</f>
        <v/>
      </c>
      <c r="BI27" s="2" t="str">
        <f>IF(OR(J27="",J27="-"),"",IF((COUNTA(BI28:BI$100)-COUNTBLANK(BI28:BI$100))=0,J27,IF((COUNTA(BI28:BI$100)-COUNTBLANK(BI28:BI$100))=1,CONCATENATE(J27," و "),CONCATENATE(J27,"، "))))</f>
        <v/>
      </c>
      <c r="BJ27" s="2" t="str">
        <f>IF(M27="","",IF((COUNTA(BJ28:$BJ$100)-COUNTBLANK(BJ28:$BJ$100)&gt;0),CONCATENATE(M27,CHAR(10)),M27))</f>
        <v/>
      </c>
      <c r="BK27" s="6"/>
      <c r="BL27" s="2"/>
      <c r="BM27" s="2">
        <f t="shared" si="4"/>
        <v>1</v>
      </c>
      <c r="BN27" s="2"/>
      <c r="BO27" s="13">
        <f t="shared" si="5"/>
        <v>0</v>
      </c>
    </row>
    <row r="28" spans="1:67" x14ac:dyDescent="0.3">
      <c r="A28" s="2" t="str">
        <f t="array" ref="A28">IFERROR(INDEX(MainData!$A$2:$A$878,MATCH(0,COUNTIF($A$1:A27,MainData!$A$2:$A$878),0)),"")</f>
        <v/>
      </c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13"/>
      <c r="Z28" s="2"/>
      <c r="AA28" s="2"/>
      <c r="AB28" s="2"/>
      <c r="AC28" s="2"/>
      <c r="AD28" s="2"/>
      <c r="AE28" s="2"/>
      <c r="AF28" s="2"/>
      <c r="BA28" s="2" t="str">
        <f>IF(OR(B28="",B28="-"),"",IF((COUNTA(BA29:BA$100)-COUNTBLANK(BA29:BA$100))=0,B28,IF((COUNTA(BA29:BA$100)-COUNTBLANK(BA29:BA$100))=1,CONCATENATE(B28," و "),CONCATENATE(B28,"، "))))</f>
        <v/>
      </c>
      <c r="BB28" s="2" t="str">
        <f>IF(OR(C28="",C28="-"),"",IF((COUNTA(BB29:BB$100)-COUNTBLANK(BB29:BB$100))=0,C28,IF((COUNTA(BB29:BB$100)-COUNTBLANK(BB29:BB$100))=1,CONCATENATE(C28," و "),CONCATENATE(C28,"، "))))</f>
        <v/>
      </c>
      <c r="BC28" s="2" t="str">
        <f>IF(OR(D28="",D28="-"),"",IF((COUNTA(BC29:BC$100)-COUNTBLANK(BC29:BC$100))=0,D28,IF((COUNTA(BC29:BC$100)-COUNTBLANK(BC29:BC$100))=1,CONCATENATE(D28," و "),CONCATENATE(D28,"، "))))</f>
        <v/>
      </c>
      <c r="BD28" s="2" t="str">
        <f>IF(OR(E28="",E28="-"),"",IF((COUNTA(BD29:BD$100)-COUNTBLANK(BD29:BD$100))=0,E28,IF((COUNTA(BD29:BD$100)-COUNTBLANK(BD29:BD$100))=1,CONCATENATE(E28," و "),CONCATENATE(E28,"، "))))</f>
        <v/>
      </c>
      <c r="BE28" s="2" t="str">
        <f>IF(OR(F28="",F28="-"),"",IF((COUNTA(BE29:BE$100)-COUNTBLANK(BE29:BE$100))=0,F28,IF((COUNTA(BE29:BE$100)-COUNTBLANK(BE29:BE$100))=1,CONCATENATE(F28," و "),CONCATENATE(F28,"، "))))</f>
        <v/>
      </c>
      <c r="BF28" s="2" t="str">
        <f>IF(OR(G28="",G28="-"),"",IF((COUNTA(BF29:BF$100)-COUNTBLANK(BF29:BF$100))=0,G28,IF((COUNTA(BF29:BF$100)-COUNTBLANK(BF29:BF$100))=1,CONCATENATE(G28," و "),CONCATENATE(G28,"، "))))</f>
        <v/>
      </c>
      <c r="BG28" s="2" t="str">
        <f>IF(OR(H28="",H28="-"),"",IF((COUNTA(BG29:BG$100)-COUNTBLANK(BG29:BG$100))=0,H28,IF((COUNTA(BG29:BG$100)-COUNTBLANK(BG29:BG$100))=1,CONCATENATE(H28," و "),CONCATENATE(H28,"، "))))</f>
        <v/>
      </c>
      <c r="BH28" s="2" t="str">
        <f>IF(OR(I28="",I28="-"),"",IF((COUNTA(BH29:BH$100)-COUNTBLANK(BH29:BH$100))=0,I28,IF((COUNTA(BH29:BH$100)-COUNTBLANK(BH29:BH$100))=1,CONCATENATE(I28," و "),CONCATENATE(I28,"، "))))</f>
        <v/>
      </c>
      <c r="BI28" s="2" t="str">
        <f>IF(OR(J28="",J28="-"),"",IF((COUNTA(BI29:BI$100)-COUNTBLANK(BI29:BI$100))=0,J28,IF((COUNTA(BI29:BI$100)-COUNTBLANK(BI29:BI$100))=1,CONCATENATE(J28," و "),CONCATENATE(J28,"، "))))</f>
        <v/>
      </c>
      <c r="BJ28" s="2" t="str">
        <f>IF(M28="","",IF((COUNTA(BJ29:$BJ$100)-COUNTBLANK(BJ29:$BJ$100)&gt;0),CONCATENATE(M28,CHAR(10)),M28))</f>
        <v/>
      </c>
      <c r="BK28" s="6"/>
      <c r="BL28" s="2"/>
      <c r="BM28" s="2">
        <f t="shared" si="4"/>
        <v>1</v>
      </c>
      <c r="BN28" s="2"/>
      <c r="BO28" s="13">
        <f t="shared" si="5"/>
        <v>0</v>
      </c>
    </row>
    <row r="29" spans="1:67" x14ac:dyDescent="0.3">
      <c r="A29" s="2" t="str">
        <f t="array" ref="A29">IFERROR(INDEX(MainData!$A$2:$A$878,MATCH(0,COUNTIF($A$1:A28,MainData!$A$2:$A$878),0)),"")</f>
        <v/>
      </c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13"/>
      <c r="Z29" s="2"/>
      <c r="AA29" s="2"/>
      <c r="AB29" s="2"/>
      <c r="AC29" s="2"/>
      <c r="AD29" s="2"/>
      <c r="AE29" s="2"/>
      <c r="AF29" s="2"/>
      <c r="BA29" s="2" t="str">
        <f>IF(OR(B29="",B29="-"),"",IF((COUNTA(BA30:BA$100)-COUNTBLANK(BA30:BA$100))=0,B29,IF((COUNTA(BA30:BA$100)-COUNTBLANK(BA30:BA$100))=1,CONCATENATE(B29," و "),CONCATENATE(B29,"، "))))</f>
        <v/>
      </c>
      <c r="BB29" s="2" t="str">
        <f>IF(OR(C29="",C29="-"),"",IF((COUNTA(BB30:BB$100)-COUNTBLANK(BB30:BB$100))=0,C29,IF((COUNTA(BB30:BB$100)-COUNTBLANK(BB30:BB$100))=1,CONCATENATE(C29," و "),CONCATENATE(C29,"، "))))</f>
        <v/>
      </c>
      <c r="BC29" s="2" t="str">
        <f>IF(OR(D29="",D29="-"),"",IF((COUNTA(BC30:BC$100)-COUNTBLANK(BC30:BC$100))=0,D29,IF((COUNTA(BC30:BC$100)-COUNTBLANK(BC30:BC$100))=1,CONCATENATE(D29," و "),CONCATENATE(D29,"، "))))</f>
        <v/>
      </c>
      <c r="BD29" s="2" t="str">
        <f>IF(OR(E29="",E29="-"),"",IF((COUNTA(BD30:BD$100)-COUNTBLANK(BD30:BD$100))=0,E29,IF((COUNTA(BD30:BD$100)-COUNTBLANK(BD30:BD$100))=1,CONCATENATE(E29," و "),CONCATENATE(E29,"، "))))</f>
        <v/>
      </c>
      <c r="BE29" s="2" t="str">
        <f>IF(OR(F29="",F29="-"),"",IF((COUNTA(BE30:BE$100)-COUNTBLANK(BE30:BE$100))=0,F29,IF((COUNTA(BE30:BE$100)-COUNTBLANK(BE30:BE$100))=1,CONCATENATE(F29," و "),CONCATENATE(F29,"، "))))</f>
        <v/>
      </c>
      <c r="BF29" s="2" t="str">
        <f>IF(OR(G29="",G29="-"),"",IF((COUNTA(BF30:BF$100)-COUNTBLANK(BF30:BF$100))=0,G29,IF((COUNTA(BF30:BF$100)-COUNTBLANK(BF30:BF$100))=1,CONCATENATE(G29," و "),CONCATENATE(G29,"، "))))</f>
        <v/>
      </c>
      <c r="BG29" s="2" t="str">
        <f>IF(OR(H29="",H29="-"),"",IF((COUNTA(BG30:BG$100)-COUNTBLANK(BG30:BG$100))=0,H29,IF((COUNTA(BG30:BG$100)-COUNTBLANK(BG30:BG$100))=1,CONCATENATE(H29," و "),CONCATENATE(H29,"، "))))</f>
        <v/>
      </c>
      <c r="BH29" s="2" t="str">
        <f>IF(OR(I29="",I29="-"),"",IF((COUNTA(BH30:BH$100)-COUNTBLANK(BH30:BH$100))=0,I29,IF((COUNTA(BH30:BH$100)-COUNTBLANK(BH30:BH$100))=1,CONCATENATE(I29," و "),CONCATENATE(I29,"، "))))</f>
        <v/>
      </c>
      <c r="BI29" s="2" t="str">
        <f>IF(OR(J29="",J29="-"),"",IF((COUNTA(BI30:BI$100)-COUNTBLANK(BI30:BI$100))=0,J29,IF((COUNTA(BI30:BI$100)-COUNTBLANK(BI30:BI$100))=1,CONCATENATE(J29," و "),CONCATENATE(J29,"، "))))</f>
        <v/>
      </c>
      <c r="BJ29" s="2" t="str">
        <f>IF(M29="","",IF((COUNTA(BJ30:$BJ$100)-COUNTBLANK(BJ30:$BJ$100)&gt;0),CONCATENATE(M29,CHAR(10)),M29))</f>
        <v/>
      </c>
      <c r="BK29" s="6"/>
      <c r="BL29" s="2"/>
      <c r="BM29" s="2">
        <f t="shared" si="4"/>
        <v>1</v>
      </c>
      <c r="BN29" s="2"/>
      <c r="BO29" s="13">
        <f t="shared" si="5"/>
        <v>0</v>
      </c>
    </row>
    <row r="30" spans="1:67" x14ac:dyDescent="0.3">
      <c r="A30" s="2" t="str">
        <f t="array" ref="A30">IFERROR(INDEX(MainData!$A$2:$A$878,MATCH(0,COUNTIF($A$1:A29,MainData!$A$2:$A$878),0)),"")</f>
        <v/>
      </c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13"/>
      <c r="Z30" s="2"/>
      <c r="AA30" s="2"/>
      <c r="AB30" s="2"/>
      <c r="AC30" s="2"/>
      <c r="AD30" s="2"/>
      <c r="AE30" s="2"/>
      <c r="AF30" s="2"/>
      <c r="BA30" s="2" t="str">
        <f>IF(OR(B30="",B30="-"),"",IF((COUNTA(BA31:BA$100)-COUNTBLANK(BA31:BA$100))=0,B30,IF((COUNTA(BA31:BA$100)-COUNTBLANK(BA31:BA$100))=1,CONCATENATE(B30," و "),CONCATENATE(B30,"، "))))</f>
        <v/>
      </c>
      <c r="BB30" s="2" t="str">
        <f>IF(OR(C30="",C30="-"),"",IF((COUNTA(BB31:BB$100)-COUNTBLANK(BB31:BB$100))=0,C30,IF((COUNTA(BB31:BB$100)-COUNTBLANK(BB31:BB$100))=1,CONCATENATE(C30," و "),CONCATENATE(C30,"، "))))</f>
        <v/>
      </c>
      <c r="BC30" s="2" t="str">
        <f>IF(OR(D30="",D30="-"),"",IF((COUNTA(BC31:BC$100)-COUNTBLANK(BC31:BC$100))=0,D30,IF((COUNTA(BC31:BC$100)-COUNTBLANK(BC31:BC$100))=1,CONCATENATE(D30," و "),CONCATENATE(D30,"، "))))</f>
        <v/>
      </c>
      <c r="BD30" s="2" t="str">
        <f>IF(OR(E30="",E30="-"),"",IF((COUNTA(BD31:BD$100)-COUNTBLANK(BD31:BD$100))=0,E30,IF((COUNTA(BD31:BD$100)-COUNTBLANK(BD31:BD$100))=1,CONCATENATE(E30," و "),CONCATENATE(E30,"، "))))</f>
        <v/>
      </c>
      <c r="BE30" s="2" t="str">
        <f>IF(OR(F30="",F30="-"),"",IF((COUNTA(BE31:BE$100)-COUNTBLANK(BE31:BE$100))=0,F30,IF((COUNTA(BE31:BE$100)-COUNTBLANK(BE31:BE$100))=1,CONCATENATE(F30," و "),CONCATENATE(F30,"، "))))</f>
        <v/>
      </c>
      <c r="BF30" s="2" t="str">
        <f>IF(OR(G30="",G30="-"),"",IF((COUNTA(BF31:BF$100)-COUNTBLANK(BF31:BF$100))=0,G30,IF((COUNTA(BF31:BF$100)-COUNTBLANK(BF31:BF$100))=1,CONCATENATE(G30," و "),CONCATENATE(G30,"، "))))</f>
        <v/>
      </c>
      <c r="BG30" s="2" t="str">
        <f>IF(OR(H30="",H30="-"),"",IF((COUNTA(BG31:BG$100)-COUNTBLANK(BG31:BG$100))=0,H30,IF((COUNTA(BG31:BG$100)-COUNTBLANK(BG31:BG$100))=1,CONCATENATE(H30," و "),CONCATENATE(H30,"، "))))</f>
        <v/>
      </c>
      <c r="BH30" s="2" t="str">
        <f>IF(OR(I30="",I30="-"),"",IF((COUNTA(BH31:BH$100)-COUNTBLANK(BH31:BH$100))=0,I30,IF((COUNTA(BH31:BH$100)-COUNTBLANK(BH31:BH$100))=1,CONCATENATE(I30," و "),CONCATENATE(I30,"، "))))</f>
        <v/>
      </c>
      <c r="BI30" s="2" t="str">
        <f>IF(OR(J30="",J30="-"),"",IF((COUNTA(BI31:BI$100)-COUNTBLANK(BI31:BI$100))=0,J30,IF((COUNTA(BI31:BI$100)-COUNTBLANK(BI31:BI$100))=1,CONCATENATE(J30," و "),CONCATENATE(J30,"، "))))</f>
        <v/>
      </c>
      <c r="BJ30" s="2" t="str">
        <f>IF(M30="","",IF((COUNTA(BJ31:$BJ$100)-COUNTBLANK(BJ31:$BJ$100)&gt;0),CONCATENATE(M30,CHAR(10)),M30))</f>
        <v/>
      </c>
      <c r="BK30" s="6"/>
      <c r="BL30" s="2"/>
      <c r="BM30" s="2">
        <f t="shared" si="4"/>
        <v>1</v>
      </c>
      <c r="BN30" s="2"/>
      <c r="BO30" s="18">
        <f>IF(BM30&gt;0,BN30,"")</f>
        <v>0</v>
      </c>
    </row>
    <row r="31" spans="1:67" x14ac:dyDescent="0.3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13"/>
      <c r="Z31" s="2"/>
      <c r="AA31" s="2"/>
      <c r="AB31" s="2"/>
      <c r="AC31" s="2"/>
      <c r="AD31" s="2"/>
      <c r="AE31" s="2"/>
      <c r="AF31" s="2"/>
      <c r="BA31" s="2" t="str">
        <f>IF(OR(B31="",B31="-"),"",IF((COUNTA(BA32:BA$100)-COUNTBLANK(BA32:BA$100))=0,B31,IF((COUNTA(BA32:BA$100)-COUNTBLANK(BA32:BA$100))=1,CONCATENATE(B31," و "),CONCATENATE(B31,"، "))))</f>
        <v/>
      </c>
      <c r="BB31" s="2" t="str">
        <f>IF(OR(C31="",C31="-"),"",IF((COUNTA(BB32:BB$100)-COUNTBLANK(BB32:BB$100))=0,C31,IF((COUNTA(BB32:BB$100)-COUNTBLANK(BB32:BB$100))=1,CONCATENATE(C31," و "),CONCATENATE(C31,"، "))))</f>
        <v/>
      </c>
      <c r="BC31" s="2" t="str">
        <f>IF(OR(D31="",D31="-"),"",IF((COUNTA(BC32:BC$100)-COUNTBLANK(BC32:BC$100))=0,D31,IF((COUNTA(BC32:BC$100)-COUNTBLANK(BC32:BC$100))=1,CONCATENATE(D31," و "),CONCATENATE(D31,"، "))))</f>
        <v/>
      </c>
      <c r="BD31" s="2" t="str">
        <f>IF(OR(E31="",E31="-"),"",IF((COUNTA(BD32:BD$100)-COUNTBLANK(BD32:BD$100))=0,E31,IF((COUNTA(BD32:BD$100)-COUNTBLANK(BD32:BD$100))=1,CONCATENATE(E31," و "),CONCATENATE(E31,"، "))))</f>
        <v/>
      </c>
      <c r="BE31" s="2" t="str">
        <f>IF(OR(F31="",F31="-"),"",IF((COUNTA(BE32:BE$100)-COUNTBLANK(BE32:BE$100))=0,F31,IF((COUNTA(BE32:BE$100)-COUNTBLANK(BE32:BE$100))=1,CONCATENATE(F31," و "),CONCATENATE(F31,"، "))))</f>
        <v/>
      </c>
      <c r="BF31" s="2" t="str">
        <f>IF(OR(G31="",G31="-"),"",IF((COUNTA(BF32:BF$100)-COUNTBLANK(BF32:BF$100))=0,G31,IF((COUNTA(BF32:BF$100)-COUNTBLANK(BF32:BF$100))=1,CONCATENATE(G31," و "),CONCATENATE(G31,"، "))))</f>
        <v/>
      </c>
      <c r="BG31" s="2" t="str">
        <f>IF(OR(H31="",H31="-"),"",IF((COUNTA(BG32:BG$100)-COUNTBLANK(BG32:BG$100))=0,H31,IF((COUNTA(BG32:BG$100)-COUNTBLANK(BG32:BG$100))=1,CONCATENATE(H31," و "),CONCATENATE(H31,"، "))))</f>
        <v/>
      </c>
      <c r="BH31" s="2" t="str">
        <f>IF(OR(I31="",I31="-"),"",IF((COUNTA(BH32:BH$100)-COUNTBLANK(BH32:BH$100))=0,I31,IF((COUNTA(BH32:BH$100)-COUNTBLANK(BH32:BH$100))=1,CONCATENATE(I31," و "),CONCATENATE(I31,"، "))))</f>
        <v/>
      </c>
      <c r="BI31" s="2" t="str">
        <f>IF(OR(J31="",J31="-"),"",IF((COUNTA(BI32:BI$100)-COUNTBLANK(BI32:BI$100))=0,J31,IF((COUNTA(BI32:BI$100)-COUNTBLANK(BI32:BI$100))=1,CONCATENATE(J31," و "),CONCATENATE(J31,"، "))))</f>
        <v/>
      </c>
      <c r="BJ31" s="2" t="str">
        <f>IF(M31="","",IF((COUNTA(BJ32:$BJ$100)-COUNTBLANK(BJ32:$BJ$100)&gt;0),CONCATENATE(M31,CHAR(10)),M31))</f>
        <v/>
      </c>
      <c r="BK31" s="6"/>
      <c r="BL31" s="2"/>
      <c r="BM31" s="2">
        <f t="shared" si="4"/>
        <v>1</v>
      </c>
      <c r="BN31" s="2"/>
      <c r="BO31" s="18">
        <f>IF(BM31&gt;0,BN31,"")</f>
        <v>0</v>
      </c>
    </row>
    <row r="32" spans="1:67" x14ac:dyDescent="0.3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13"/>
      <c r="Z32" s="2"/>
      <c r="AA32" s="2"/>
      <c r="AB32" s="2"/>
      <c r="AC32" s="2"/>
      <c r="AD32" s="2"/>
      <c r="AE32" s="2"/>
      <c r="AF32" s="2"/>
      <c r="BA32" s="2" t="str">
        <f>IF(OR(B32="",B32="-"),"",IF((COUNTA(BA33:BA$100)-COUNTBLANK(BA33:BA$100))=0,B32,IF((COUNTA(BA33:BA$100)-COUNTBLANK(BA33:BA$100))=1,CONCATENATE(B32," و "),CONCATENATE(B32,"، "))))</f>
        <v/>
      </c>
      <c r="BB32" s="2" t="str">
        <f>IF(OR(C32="",C32="-"),"",IF((COUNTA(BB33:BB$100)-COUNTBLANK(BB33:BB$100))=0,C32,IF((COUNTA(BB33:BB$100)-COUNTBLANK(BB33:BB$100))=1,CONCATENATE(C32," و "),CONCATENATE(C32,"، "))))</f>
        <v/>
      </c>
      <c r="BC32" s="2" t="str">
        <f>IF(OR(D32="",D32="-"),"",IF((COUNTA(BC33:BC$100)-COUNTBLANK(BC33:BC$100))=0,D32,IF((COUNTA(BC33:BC$100)-COUNTBLANK(BC33:BC$100))=1,CONCATENATE(D32," و "),CONCATENATE(D32,"، "))))</f>
        <v/>
      </c>
      <c r="BD32" s="2" t="str">
        <f>IF(OR(E32="",E32="-"),"",IF((COUNTA(BD33:BD$100)-COUNTBLANK(BD33:BD$100))=0,E32,IF((COUNTA(BD33:BD$100)-COUNTBLANK(BD33:BD$100))=1,CONCATENATE(E32," و "),CONCATENATE(E32,"، "))))</f>
        <v/>
      </c>
      <c r="BE32" s="2" t="str">
        <f>IF(OR(F32="",F32="-"),"",IF((COUNTA(BE33:BE$100)-COUNTBLANK(BE33:BE$100))=0,F32,IF((COUNTA(BE33:BE$100)-COUNTBLANK(BE33:BE$100))=1,CONCATENATE(F32," و "),CONCATENATE(F32,"، "))))</f>
        <v/>
      </c>
      <c r="BF32" s="2" t="str">
        <f>IF(OR(G32="",G32="-"),"",IF((COUNTA(BF33:BF$100)-COUNTBLANK(BF33:BF$100))=0,G32,IF((COUNTA(BF33:BF$100)-COUNTBLANK(BF33:BF$100))=1,CONCATENATE(G32," و "),CONCATENATE(G32,"، "))))</f>
        <v/>
      </c>
      <c r="BG32" s="2" t="str">
        <f>IF(OR(H32="",H32="-"),"",IF((COUNTA(BG33:BG$100)-COUNTBLANK(BG33:BG$100))=0,H32,IF((COUNTA(BG33:BG$100)-COUNTBLANK(BG33:BG$100))=1,CONCATENATE(H32," و "),CONCATENATE(H32,"، "))))</f>
        <v/>
      </c>
      <c r="BH32" s="2" t="str">
        <f>IF(OR(I32="",I32="-"),"",IF((COUNTA(BH33:BH$100)-COUNTBLANK(BH33:BH$100))=0,I32,IF((COUNTA(BH33:BH$100)-COUNTBLANK(BH33:BH$100))=1,CONCATENATE(I32," و "),CONCATENATE(I32,"، "))))</f>
        <v/>
      </c>
      <c r="BI32" s="2" t="str">
        <f>IF(OR(J32="",J32="-"),"",IF((COUNTA(BI33:BI$100)-COUNTBLANK(BI33:BI$100))=0,J32,IF((COUNTA(BI33:BI$100)-COUNTBLANK(BI33:BI$100))=1,CONCATENATE(J32," و "),CONCATENATE(J32,"، "))))</f>
        <v/>
      </c>
      <c r="BJ32" s="2" t="str">
        <f>IF(M32="","",IF((COUNTA(BJ33:$BJ$100)-COUNTBLANK(BJ33:$BJ$100)&gt;0),CONCATENATE(M32,CHAR(10)),M32))</f>
        <v/>
      </c>
      <c r="BK32" s="6"/>
      <c r="BL32" s="2"/>
      <c r="BM32" s="2"/>
      <c r="BN32" s="2"/>
      <c r="BO32" s="2"/>
    </row>
    <row r="33" spans="1:67" x14ac:dyDescent="0.3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13"/>
      <c r="Z33" s="2"/>
      <c r="AA33" s="2"/>
      <c r="AB33" s="2"/>
      <c r="AC33" s="2"/>
      <c r="AD33" s="2"/>
      <c r="AE33" s="2"/>
      <c r="AF33" s="2"/>
      <c r="BA33" s="2" t="str">
        <f>IF(OR(B33="",B33="-"),"",IF((COUNTA(BA34:BA$100)-COUNTBLANK(BA34:BA$100))=0,B33,IF((COUNTA(BA34:BA$100)-COUNTBLANK(BA34:BA$100))=1,CONCATENATE(B33," و "),CONCATENATE(B33,"، "))))</f>
        <v/>
      </c>
      <c r="BB33" s="2" t="str">
        <f>IF(OR(C33="",C33="-"),"",IF((COUNTA(BB34:BB$100)-COUNTBLANK(BB34:BB$100))=0,C33,IF((COUNTA(BB34:BB$100)-COUNTBLANK(BB34:BB$100))=1,CONCATENATE(C33," و "),CONCATENATE(C33,"، "))))</f>
        <v/>
      </c>
      <c r="BC33" s="2" t="str">
        <f>IF(OR(D33="",D33="-"),"",IF((COUNTA(BC34:BC$100)-COUNTBLANK(BC34:BC$100))=0,D33,IF((COUNTA(BC34:BC$100)-COUNTBLANK(BC34:BC$100))=1,CONCATENATE(D33," و "),CONCATENATE(D33,"، "))))</f>
        <v/>
      </c>
      <c r="BD33" s="2" t="str">
        <f>IF(OR(E33="",E33="-"),"",IF((COUNTA(BD34:BD$100)-COUNTBLANK(BD34:BD$100))=0,E33,IF((COUNTA(BD34:BD$100)-COUNTBLANK(BD34:BD$100))=1,CONCATENATE(E33," و "),CONCATENATE(E33,"، "))))</f>
        <v/>
      </c>
      <c r="BE33" s="2" t="str">
        <f>IF(OR(F33="",F33="-"),"",IF((COUNTA(BE34:BE$100)-COUNTBLANK(BE34:BE$100))=0,F33,IF((COUNTA(BE34:BE$100)-COUNTBLANK(BE34:BE$100))=1,CONCATENATE(F33," و "),CONCATENATE(F33,"، "))))</f>
        <v/>
      </c>
      <c r="BF33" s="2" t="str">
        <f>IF(OR(G33="",G33="-"),"",IF((COUNTA(BF34:BF$100)-COUNTBLANK(BF34:BF$100))=0,G33,IF((COUNTA(BF34:BF$100)-COUNTBLANK(BF34:BF$100))=1,CONCATENATE(G33," و "),CONCATENATE(G33,"، "))))</f>
        <v/>
      </c>
      <c r="BG33" s="2" t="str">
        <f>IF(OR(H33="",H33="-"),"",IF((COUNTA(BG34:BG$100)-COUNTBLANK(BG34:BG$100))=0,H33,IF((COUNTA(BG34:BG$100)-COUNTBLANK(BG34:BG$100))=1,CONCATENATE(H33," و "),CONCATENATE(H33,"، "))))</f>
        <v/>
      </c>
      <c r="BH33" s="2" t="str">
        <f>IF(OR(I33="",I33="-"),"",IF((COUNTA(BH34:BH$100)-COUNTBLANK(BH34:BH$100))=0,I33,IF((COUNTA(BH34:BH$100)-COUNTBLANK(BH34:BH$100))=1,CONCATENATE(I33," و "),CONCATENATE(I33,"، "))))</f>
        <v/>
      </c>
      <c r="BI33" s="2" t="str">
        <f>IF(OR(J33="",J33="-"),"",IF((COUNTA(BI34:BI$100)-COUNTBLANK(BI34:BI$100))=0,J33,IF((COUNTA(BI34:BI$100)-COUNTBLANK(BI34:BI$100))=1,CONCATENATE(J33," و "),CONCATENATE(J33,"، "))))</f>
        <v/>
      </c>
      <c r="BJ33" s="2" t="str">
        <f>IF(M33="","",IF((COUNTA(BJ34:$BJ$100)-COUNTBLANK(BJ34:$BJ$100)&gt;0),CONCATENATE(M33,CHAR(10)),M33))</f>
        <v/>
      </c>
      <c r="BK33" s="6"/>
      <c r="BL33" s="2"/>
      <c r="BM33" s="2"/>
      <c r="BN33" s="2"/>
      <c r="BO33" s="2"/>
    </row>
    <row r="34" spans="1:67" x14ac:dyDescent="0.3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13"/>
      <c r="Z34" s="2"/>
      <c r="AA34" s="2"/>
      <c r="AB34" s="2"/>
      <c r="AC34" s="2"/>
      <c r="AD34" s="2"/>
      <c r="AE34" s="2"/>
      <c r="AF34" s="2"/>
      <c r="BA34" s="2" t="str">
        <f>IF(OR(B34="",B34="-"),"",IF((COUNTA(BA35:BA$100)-COUNTBLANK(BA35:BA$100))=0,B34,IF((COUNTA(BA35:BA$100)-COUNTBLANK(BA35:BA$100))=1,CONCATENATE(B34," و "),CONCATENATE(B34,"، "))))</f>
        <v/>
      </c>
      <c r="BB34" s="2" t="str">
        <f>IF(OR(C34="",C34="-"),"",IF((COUNTA(BB35:BB$100)-COUNTBLANK(BB35:BB$100))=0,C34,IF((COUNTA(BB35:BB$100)-COUNTBLANK(BB35:BB$100))=1,CONCATENATE(C34," و "),CONCATENATE(C34,"، "))))</f>
        <v/>
      </c>
      <c r="BC34" s="2" t="str">
        <f>IF(OR(D34="",D34="-"),"",IF((COUNTA(BC35:BC$100)-COUNTBLANK(BC35:BC$100))=0,D34,IF((COUNTA(BC35:BC$100)-COUNTBLANK(BC35:BC$100))=1,CONCATENATE(D34," و "),CONCATENATE(D34,"، "))))</f>
        <v/>
      </c>
      <c r="BD34" s="2" t="str">
        <f>IF(OR(E34="",E34="-"),"",IF((COUNTA(BD35:BD$100)-COUNTBLANK(BD35:BD$100))=0,E34,IF((COUNTA(BD35:BD$100)-COUNTBLANK(BD35:BD$100))=1,CONCATENATE(E34," و "),CONCATENATE(E34,"، "))))</f>
        <v/>
      </c>
      <c r="BE34" s="2" t="str">
        <f>IF(OR(F34="",F34="-"),"",IF((COUNTA(BE35:BE$100)-COUNTBLANK(BE35:BE$100))=0,F34,IF((COUNTA(BE35:BE$100)-COUNTBLANK(BE35:BE$100))=1,CONCATENATE(F34," و "),CONCATENATE(F34,"، "))))</f>
        <v/>
      </c>
      <c r="BF34" s="2" t="str">
        <f>IF(OR(G34="",G34="-"),"",IF((COUNTA(BF35:BF$100)-COUNTBLANK(BF35:BF$100))=0,G34,IF((COUNTA(BF35:BF$100)-COUNTBLANK(BF35:BF$100))=1,CONCATENATE(G34," و "),CONCATENATE(G34,"، "))))</f>
        <v/>
      </c>
      <c r="BG34" s="2" t="str">
        <f>IF(OR(H34="",H34="-"),"",IF((COUNTA(BG35:BG$100)-COUNTBLANK(BG35:BG$100))=0,H34,IF((COUNTA(BG35:BG$100)-COUNTBLANK(BG35:BG$100))=1,CONCATENATE(H34," و "),CONCATENATE(H34,"، "))))</f>
        <v/>
      </c>
      <c r="BH34" s="2" t="str">
        <f>IF(OR(I34="",I34="-"),"",IF((COUNTA(BH35:BH$100)-COUNTBLANK(BH35:BH$100))=0,I34,IF((COUNTA(BH35:BH$100)-COUNTBLANK(BH35:BH$100))=1,CONCATENATE(I34," و "),CONCATENATE(I34,"، "))))</f>
        <v/>
      </c>
      <c r="BI34" s="2" t="str">
        <f>IF(OR(J34="",J34="-"),"",IF((COUNTA(BI35:BI$100)-COUNTBLANK(BI35:BI$100))=0,J34,IF((COUNTA(BI35:BI$100)-COUNTBLANK(BI35:BI$100))=1,CONCATENATE(J34," و "),CONCATENATE(J34,"، "))))</f>
        <v/>
      </c>
      <c r="BJ34" s="2" t="str">
        <f>IF(M34="","",IF((COUNTA(BJ35:$BJ$100)-COUNTBLANK(BJ35:$BJ$100)&gt;0),CONCATENATE(M34,CHAR(10)),M34))</f>
        <v/>
      </c>
      <c r="BK34" s="6"/>
      <c r="BL34" s="2"/>
      <c r="BM34" s="2"/>
      <c r="BN34" s="2"/>
      <c r="BO34" s="2"/>
    </row>
    <row r="35" spans="1:67" x14ac:dyDescent="0.3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13"/>
      <c r="Z35" s="2"/>
      <c r="AA35" s="2"/>
      <c r="AB35" s="2"/>
      <c r="AC35" s="2"/>
      <c r="AD35" s="2"/>
      <c r="AE35" s="2"/>
      <c r="AF35" s="2"/>
      <c r="BA35" s="2" t="str">
        <f>IF(OR(B35="",B35="-"),"",IF((COUNTA(BA36:BA$100)-COUNTBLANK(BA36:BA$100))=0,B35,IF((COUNTA(BA36:BA$100)-COUNTBLANK(BA36:BA$100))=1,CONCATENATE(B35," و "),CONCATENATE(B35,"، "))))</f>
        <v/>
      </c>
      <c r="BB35" s="2" t="str">
        <f>IF(OR(C35="",C35="-"),"",IF((COUNTA(BB36:BB$100)-COUNTBLANK(BB36:BB$100))=0,C35,IF((COUNTA(BB36:BB$100)-COUNTBLANK(BB36:BB$100))=1,CONCATENATE(C35," و "),CONCATENATE(C35,"، "))))</f>
        <v/>
      </c>
      <c r="BC35" s="2" t="str">
        <f>IF(OR(D35="",D35="-"),"",IF((COUNTA(BC36:BC$100)-COUNTBLANK(BC36:BC$100))=0,D35,IF((COUNTA(BC36:BC$100)-COUNTBLANK(BC36:BC$100))=1,CONCATENATE(D35," و "),CONCATENATE(D35,"، "))))</f>
        <v/>
      </c>
      <c r="BD35" s="2" t="str">
        <f>IF(OR(E35="",E35="-"),"",IF((COUNTA(BD36:BD$100)-COUNTBLANK(BD36:BD$100))=0,E35,IF((COUNTA(BD36:BD$100)-COUNTBLANK(BD36:BD$100))=1,CONCATENATE(E35," و "),CONCATENATE(E35,"، "))))</f>
        <v/>
      </c>
      <c r="BE35" s="2" t="str">
        <f>IF(OR(F35="",F35="-"),"",IF((COUNTA(BE36:BE$100)-COUNTBLANK(BE36:BE$100))=0,F35,IF((COUNTA(BE36:BE$100)-COUNTBLANK(BE36:BE$100))=1,CONCATENATE(F35," و "),CONCATENATE(F35,"، "))))</f>
        <v/>
      </c>
      <c r="BF35" s="2" t="str">
        <f>IF(OR(G35="",G35="-"),"",IF((COUNTA(BF36:BF$100)-COUNTBLANK(BF36:BF$100))=0,G35,IF((COUNTA(BF36:BF$100)-COUNTBLANK(BF36:BF$100))=1,CONCATENATE(G35," و "),CONCATENATE(G35,"، "))))</f>
        <v/>
      </c>
      <c r="BG35" s="2" t="str">
        <f>IF(OR(H35="",H35="-"),"",IF((COUNTA(BG36:BG$100)-COUNTBLANK(BG36:BG$100))=0,H35,IF((COUNTA(BG36:BG$100)-COUNTBLANK(BG36:BG$100))=1,CONCATENATE(H35," و "),CONCATENATE(H35,"، "))))</f>
        <v/>
      </c>
      <c r="BH35" s="2" t="str">
        <f>IF(OR(I35="",I35="-"),"",IF((COUNTA(BH36:BH$100)-COUNTBLANK(BH36:BH$100))=0,I35,IF((COUNTA(BH36:BH$100)-COUNTBLANK(BH36:BH$100))=1,CONCATENATE(I35," و "),CONCATENATE(I35,"، "))))</f>
        <v/>
      </c>
      <c r="BI35" s="2" t="str">
        <f>IF(OR(J35="",J35="-"),"",IF((COUNTA(BI36:BI$100)-COUNTBLANK(BI36:BI$100))=0,J35,IF((COUNTA(BI36:BI$100)-COUNTBLANK(BI36:BI$100))=1,CONCATENATE(J35," و "),CONCATENATE(J35,"، "))))</f>
        <v/>
      </c>
      <c r="BJ35" s="2" t="str">
        <f>IF(M35="","",IF((COUNTA(BJ36:$BJ$100)-COUNTBLANK(BJ36:$BJ$100)&gt;0),CONCATENATE(M35,CHAR(10)),M35))</f>
        <v/>
      </c>
      <c r="BK35" s="6"/>
      <c r="BL35" s="2"/>
      <c r="BM35" s="2"/>
      <c r="BN35" s="2"/>
      <c r="BO35" s="2"/>
    </row>
    <row r="36" spans="1:67" x14ac:dyDescent="0.3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13"/>
      <c r="Z36" s="2"/>
      <c r="AA36" s="2"/>
      <c r="AB36" s="2"/>
      <c r="AC36" s="2"/>
      <c r="AD36" s="2"/>
      <c r="AE36" s="2"/>
      <c r="AF36" s="2"/>
      <c r="BA36" s="2" t="str">
        <f>IF(OR(B36="",B36="-"),"",IF((COUNTA(BA37:BA$100)-COUNTBLANK(BA37:BA$100))=0,B36,IF((COUNTA(BA37:BA$100)-COUNTBLANK(BA37:BA$100))=1,CONCATENATE(B36," و "),CONCATENATE(B36,"، "))))</f>
        <v/>
      </c>
      <c r="BB36" s="2" t="str">
        <f>IF(OR(C36="",C36="-"),"",IF((COUNTA(BB37:BB$100)-COUNTBLANK(BB37:BB$100))=0,C36,IF((COUNTA(BB37:BB$100)-COUNTBLANK(BB37:BB$100))=1,CONCATENATE(C36," و "),CONCATENATE(C36,"، "))))</f>
        <v/>
      </c>
      <c r="BC36" s="2" t="str">
        <f>IF(OR(D36="",D36="-"),"",IF((COUNTA(BC37:BC$100)-COUNTBLANK(BC37:BC$100))=0,D36,IF((COUNTA(BC37:BC$100)-COUNTBLANK(BC37:BC$100))=1,CONCATENATE(D36," و "),CONCATENATE(D36,"، "))))</f>
        <v/>
      </c>
      <c r="BD36" s="2" t="str">
        <f>IF(OR(E36="",E36="-"),"",IF((COUNTA(BD37:BD$100)-COUNTBLANK(BD37:BD$100))=0,E36,IF((COUNTA(BD37:BD$100)-COUNTBLANK(BD37:BD$100))=1,CONCATENATE(E36," و "),CONCATENATE(E36,"، "))))</f>
        <v/>
      </c>
      <c r="BE36" s="2" t="str">
        <f>IF(OR(F36="",F36="-"),"",IF((COUNTA(BE37:BE$100)-COUNTBLANK(BE37:BE$100))=0,F36,IF((COUNTA(BE37:BE$100)-COUNTBLANK(BE37:BE$100))=1,CONCATENATE(F36," و "),CONCATENATE(F36,"، "))))</f>
        <v/>
      </c>
      <c r="BF36" s="2" t="str">
        <f>IF(OR(G36="",G36="-"),"",IF((COUNTA(BF37:BF$100)-COUNTBLANK(BF37:BF$100))=0,G36,IF((COUNTA(BF37:BF$100)-COUNTBLANK(BF37:BF$100))=1,CONCATENATE(G36," و "),CONCATENATE(G36,"، "))))</f>
        <v/>
      </c>
      <c r="BG36" s="2" t="str">
        <f>IF(OR(H36="",H36="-"),"",IF((COUNTA(BG37:BG$100)-COUNTBLANK(BG37:BG$100))=0,H36,IF((COUNTA(BG37:BG$100)-COUNTBLANK(BG37:BG$100))=1,CONCATENATE(H36," و "),CONCATENATE(H36,"، "))))</f>
        <v/>
      </c>
      <c r="BH36" s="2" t="str">
        <f>IF(OR(I36="",I36="-"),"",IF((COUNTA(BH37:BH$100)-COUNTBLANK(BH37:BH$100))=0,I36,IF((COUNTA(BH37:BH$100)-COUNTBLANK(BH37:BH$100))=1,CONCATENATE(I36," و "),CONCATENATE(I36,"، "))))</f>
        <v/>
      </c>
      <c r="BI36" s="2" t="str">
        <f>IF(OR(J36="",J36="-"),"",IF((COUNTA(BI37:BI$100)-COUNTBLANK(BI37:BI$100))=0,J36,IF((COUNTA(BI37:BI$100)-COUNTBLANK(BI37:BI$100))=1,CONCATENATE(J36," و "),CONCATENATE(J36,"، "))))</f>
        <v/>
      </c>
      <c r="BJ36" s="2" t="str">
        <f>IF(M36="","",IF((COUNTA(BJ37:$BJ$100)-COUNTBLANK(BJ37:$BJ$100)&gt;0),CONCATENATE(M36,CHAR(10)),M36))</f>
        <v/>
      </c>
      <c r="BK36" s="6"/>
      <c r="BL36" s="2"/>
      <c r="BM36" s="2"/>
      <c r="BN36" s="2"/>
      <c r="BO36" s="2"/>
    </row>
    <row r="37" spans="1:67" x14ac:dyDescent="0.3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13"/>
      <c r="Z37" s="2"/>
      <c r="AA37" s="2"/>
      <c r="AB37" s="2"/>
      <c r="AC37" s="2"/>
      <c r="AD37" s="2"/>
      <c r="AE37" s="2"/>
      <c r="AF37" s="2"/>
      <c r="BA37" s="2" t="str">
        <f>IF(OR(B37="",B37="-"),"",IF((COUNTA(BA38:BA$100)-COUNTBLANK(BA38:BA$100))=0,B37,IF((COUNTA(BA38:BA$100)-COUNTBLANK(BA38:BA$100))=1,CONCATENATE(B37," و "),CONCATENATE(B37,"، "))))</f>
        <v/>
      </c>
      <c r="BB37" s="2" t="str">
        <f>IF(OR(C37="",C37="-"),"",IF((COUNTA(BB38:BB$100)-COUNTBLANK(BB38:BB$100))=0,C37,IF((COUNTA(BB38:BB$100)-COUNTBLANK(BB38:BB$100))=1,CONCATENATE(C37," و "),CONCATENATE(C37,"، "))))</f>
        <v/>
      </c>
      <c r="BC37" s="2" t="str">
        <f>IF(OR(D37="",D37="-"),"",IF((COUNTA(BC38:BC$100)-COUNTBLANK(BC38:BC$100))=0,D37,IF((COUNTA(BC38:BC$100)-COUNTBLANK(BC38:BC$100))=1,CONCATENATE(D37," و "),CONCATENATE(D37,"، "))))</f>
        <v/>
      </c>
      <c r="BD37" s="2" t="str">
        <f>IF(OR(E37="",E37="-"),"",IF((COUNTA(BD38:BD$100)-COUNTBLANK(BD38:BD$100))=0,E37,IF((COUNTA(BD38:BD$100)-COUNTBLANK(BD38:BD$100))=1,CONCATENATE(E37," و "),CONCATENATE(E37,"، "))))</f>
        <v/>
      </c>
      <c r="BE37" s="2" t="str">
        <f>IF(OR(F37="",F37="-"),"",IF((COUNTA(BE38:BE$100)-COUNTBLANK(BE38:BE$100))=0,F37,IF((COUNTA(BE38:BE$100)-COUNTBLANK(BE38:BE$100))=1,CONCATENATE(F37," و "),CONCATENATE(F37,"، "))))</f>
        <v/>
      </c>
      <c r="BF37" s="2" t="str">
        <f>IF(OR(G37="",G37="-"),"",IF((COUNTA(BF38:BF$100)-COUNTBLANK(BF38:BF$100))=0,G37,IF((COUNTA(BF38:BF$100)-COUNTBLANK(BF38:BF$100))=1,CONCATENATE(G37," و "),CONCATENATE(G37,"، "))))</f>
        <v/>
      </c>
      <c r="BG37" s="2" t="str">
        <f>IF(OR(H37="",H37="-"),"",IF((COUNTA(BG38:BG$100)-COUNTBLANK(BG38:BG$100))=0,H37,IF((COUNTA(BG38:BG$100)-COUNTBLANK(BG38:BG$100))=1,CONCATENATE(H37," و "),CONCATENATE(H37,"، "))))</f>
        <v/>
      </c>
      <c r="BH37" s="2" t="str">
        <f>IF(OR(I37="",I37="-"),"",IF((COUNTA(BH38:BH$100)-COUNTBLANK(BH38:BH$100))=0,I37,IF((COUNTA(BH38:BH$100)-COUNTBLANK(BH38:BH$100))=1,CONCATENATE(I37," و "),CONCATENATE(I37,"، "))))</f>
        <v/>
      </c>
      <c r="BI37" s="2" t="str">
        <f>IF(OR(J37="",J37="-"),"",IF((COUNTA(BI38:BI$100)-COUNTBLANK(BI38:BI$100))=0,J37,IF((COUNTA(BI38:BI$100)-COUNTBLANK(BI38:BI$100))=1,CONCATENATE(J37," و "),CONCATENATE(J37,"، "))))</f>
        <v/>
      </c>
      <c r="BJ37" s="2" t="str">
        <f>IF(M37="","",IF((COUNTA(BJ38:$BJ$100)-COUNTBLANK(BJ38:$BJ$100)&gt;0),CONCATENATE(M37,CHAR(10)),M37))</f>
        <v/>
      </c>
      <c r="BK37" s="6"/>
      <c r="BL37" s="2"/>
      <c r="BM37" s="2"/>
      <c r="BN37" s="2"/>
      <c r="BO37" s="2"/>
    </row>
    <row r="38" spans="1:67" x14ac:dyDescent="0.3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13"/>
      <c r="Z38" s="2"/>
      <c r="AA38" s="2"/>
      <c r="AB38" s="2"/>
      <c r="AC38" s="2"/>
      <c r="AD38" s="2"/>
      <c r="AE38" s="2"/>
      <c r="AF38" s="2"/>
      <c r="BA38" s="2" t="str">
        <f>IF(OR(B38="",B38="-"),"",IF((COUNTA(BA39:BA$100)-COUNTBLANK(BA39:BA$100))=0,B38,IF((COUNTA(BA39:BA$100)-COUNTBLANK(BA39:BA$100))=1,CONCATENATE(B38," و "),CONCATENATE(B38,"، "))))</f>
        <v/>
      </c>
      <c r="BB38" s="2" t="str">
        <f>IF(OR(C38="",C38="-"),"",IF((COUNTA(BB39:BB$100)-COUNTBLANK(BB39:BB$100))=0,C38,IF((COUNTA(BB39:BB$100)-COUNTBLANK(BB39:BB$100))=1,CONCATENATE(C38," و "),CONCATENATE(C38,"، "))))</f>
        <v/>
      </c>
      <c r="BC38" s="2" t="str">
        <f>IF(OR(D38="",D38="-"),"",IF((COUNTA(BC39:BC$100)-COUNTBLANK(BC39:BC$100))=0,D38,IF((COUNTA(BC39:BC$100)-COUNTBLANK(BC39:BC$100))=1,CONCATENATE(D38," و "),CONCATENATE(D38,"، "))))</f>
        <v/>
      </c>
      <c r="BD38" s="2" t="str">
        <f>IF(OR(E38="",E38="-"),"",IF((COUNTA(BD39:BD$100)-COUNTBLANK(BD39:BD$100))=0,E38,IF((COUNTA(BD39:BD$100)-COUNTBLANK(BD39:BD$100))=1,CONCATENATE(E38," و "),CONCATENATE(E38,"، "))))</f>
        <v/>
      </c>
      <c r="BE38" s="2" t="str">
        <f>IF(OR(F38="",F38="-"),"",IF((COUNTA(BE39:BE$100)-COUNTBLANK(BE39:BE$100))=0,F38,IF((COUNTA(BE39:BE$100)-COUNTBLANK(BE39:BE$100))=1,CONCATENATE(F38," و "),CONCATENATE(F38,"، "))))</f>
        <v/>
      </c>
      <c r="BF38" s="2" t="str">
        <f>IF(OR(G38="",G38="-"),"",IF((COUNTA(BF39:BF$100)-COUNTBLANK(BF39:BF$100))=0,G38,IF((COUNTA(BF39:BF$100)-COUNTBLANK(BF39:BF$100))=1,CONCATENATE(G38," و "),CONCATENATE(G38,"، "))))</f>
        <v/>
      </c>
      <c r="BG38" s="2" t="str">
        <f>IF(OR(H38="",H38="-"),"",IF((COUNTA(BG39:BG$100)-COUNTBLANK(BG39:BG$100))=0,H38,IF((COUNTA(BG39:BG$100)-COUNTBLANK(BG39:BG$100))=1,CONCATENATE(H38," و "),CONCATENATE(H38,"، "))))</f>
        <v/>
      </c>
      <c r="BH38" s="2" t="str">
        <f>IF(OR(I38="",I38="-"),"",IF((COUNTA(BH39:BH$100)-COUNTBLANK(BH39:BH$100))=0,I38,IF((COUNTA(BH39:BH$100)-COUNTBLANK(BH39:BH$100))=1,CONCATENATE(I38," و "),CONCATENATE(I38,"، "))))</f>
        <v/>
      </c>
      <c r="BI38" s="2" t="str">
        <f>IF(OR(J38="",J38="-"),"",IF((COUNTA(BI39:BI$100)-COUNTBLANK(BI39:BI$100))=0,J38,IF((COUNTA(BI39:BI$100)-COUNTBLANK(BI39:BI$100))=1,CONCATENATE(J38," و "),CONCATENATE(J38,"، "))))</f>
        <v/>
      </c>
      <c r="BJ38" s="2" t="str">
        <f>IF(M38="","",IF((COUNTA(BJ39:$BJ$100)-COUNTBLANK(BJ39:$BJ$100)&gt;0),CONCATENATE(M38,CHAR(10)),M38))</f>
        <v/>
      </c>
      <c r="BK38" s="6"/>
      <c r="BL38" s="2"/>
      <c r="BM38" s="2"/>
      <c r="BN38" s="2"/>
      <c r="BO38" s="2"/>
    </row>
    <row r="39" spans="1:67" x14ac:dyDescent="0.3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13"/>
      <c r="Z39" s="2"/>
      <c r="AA39" s="2"/>
      <c r="AB39" s="2"/>
      <c r="AC39" s="2"/>
      <c r="AD39" s="2"/>
      <c r="AE39" s="2"/>
      <c r="AF39" s="2"/>
      <c r="BA39" s="2" t="str">
        <f>IF(OR(B39="",B39="-"),"",IF((COUNTA(BA40:BA$100)-COUNTBLANK(BA40:BA$100))=0,B39,IF((COUNTA(BA40:BA$100)-COUNTBLANK(BA40:BA$100))=1,CONCATENATE(B39," و "),CONCATENATE(B39,"، "))))</f>
        <v/>
      </c>
      <c r="BB39" s="2" t="str">
        <f>IF(OR(C39="",C39="-"),"",IF((COUNTA(BB40:BB$100)-COUNTBLANK(BB40:BB$100))=0,C39,IF((COUNTA(BB40:BB$100)-COUNTBLANK(BB40:BB$100))=1,CONCATENATE(C39," و "),CONCATENATE(C39,"، "))))</f>
        <v/>
      </c>
      <c r="BC39" s="2" t="str">
        <f>IF(OR(D39="",D39="-"),"",IF((COUNTA(BC40:BC$100)-COUNTBLANK(BC40:BC$100))=0,D39,IF((COUNTA(BC40:BC$100)-COUNTBLANK(BC40:BC$100))=1,CONCATENATE(D39," و "),CONCATENATE(D39,"، "))))</f>
        <v/>
      </c>
      <c r="BD39" s="2" t="str">
        <f>IF(OR(E39="",E39="-"),"",IF((COUNTA(BD40:BD$100)-COUNTBLANK(BD40:BD$100))=0,E39,IF((COUNTA(BD40:BD$100)-COUNTBLANK(BD40:BD$100))=1,CONCATENATE(E39," و "),CONCATENATE(E39,"، "))))</f>
        <v/>
      </c>
      <c r="BE39" s="2" t="str">
        <f>IF(OR(F39="",F39="-"),"",IF((COUNTA(BE40:BE$100)-COUNTBLANK(BE40:BE$100))=0,F39,IF((COUNTA(BE40:BE$100)-COUNTBLANK(BE40:BE$100))=1,CONCATENATE(F39," و "),CONCATENATE(F39,"، "))))</f>
        <v/>
      </c>
      <c r="BF39" s="2" t="str">
        <f>IF(OR(G39="",G39="-"),"",IF((COUNTA(BF40:BF$100)-COUNTBLANK(BF40:BF$100))=0,G39,IF((COUNTA(BF40:BF$100)-COUNTBLANK(BF40:BF$100))=1,CONCATENATE(G39," و "),CONCATENATE(G39,"، "))))</f>
        <v/>
      </c>
      <c r="BG39" s="2" t="str">
        <f>IF(OR(H39="",H39="-"),"",IF((COUNTA(BG40:BG$100)-COUNTBLANK(BG40:BG$100))=0,H39,IF((COUNTA(BG40:BG$100)-COUNTBLANK(BG40:BG$100))=1,CONCATENATE(H39," و "),CONCATENATE(H39,"، "))))</f>
        <v/>
      </c>
      <c r="BH39" s="2" t="str">
        <f>IF(OR(I39="",I39="-"),"",IF((COUNTA(BH40:BH$100)-COUNTBLANK(BH40:BH$100))=0,I39,IF((COUNTA(BH40:BH$100)-COUNTBLANK(BH40:BH$100))=1,CONCATENATE(I39," و "),CONCATENATE(I39,"، "))))</f>
        <v/>
      </c>
      <c r="BI39" s="2" t="str">
        <f>IF(OR(J39="",J39="-"),"",IF((COUNTA(BI40:BI$100)-COUNTBLANK(BI40:BI$100))=0,J39,IF((COUNTA(BI40:BI$100)-COUNTBLANK(BI40:BI$100))=1,CONCATENATE(J39," و "),CONCATENATE(J39,"، "))))</f>
        <v/>
      </c>
      <c r="BJ39" s="2" t="str">
        <f>IF(M39="","",IF((COUNTA(BJ40:$BJ$100)-COUNTBLANK(BJ40:$BJ$100)&gt;0),CONCATENATE(M39,CHAR(10)),M39))</f>
        <v/>
      </c>
      <c r="BK39" s="6"/>
      <c r="BL39" s="2"/>
      <c r="BM39" s="2"/>
      <c r="BN39" s="2"/>
      <c r="BO39" s="2"/>
    </row>
    <row r="40" spans="1:67" x14ac:dyDescent="0.3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13"/>
      <c r="Z40" s="2"/>
      <c r="AA40" s="2"/>
      <c r="AB40" s="2"/>
      <c r="AC40" s="2"/>
      <c r="AD40" s="2"/>
      <c r="AE40" s="2"/>
      <c r="AF40" s="2"/>
      <c r="BA40" s="2" t="str">
        <f>IF(OR(B40="",B40="-"),"",IF((COUNTA(BA41:BA$100)-COUNTBLANK(BA41:BA$100))=0,B40,IF((COUNTA(BA41:BA$100)-COUNTBLANK(BA41:BA$100))=1,CONCATENATE(B40," و "),CONCATENATE(B40,"، "))))</f>
        <v/>
      </c>
      <c r="BB40" s="2" t="str">
        <f>IF(OR(C40="",C40="-"),"",IF((COUNTA(BB41:BB$100)-COUNTBLANK(BB41:BB$100))=0,C40,IF((COUNTA(BB41:BB$100)-COUNTBLANK(BB41:BB$100))=1,CONCATENATE(C40," و "),CONCATENATE(C40,"، "))))</f>
        <v/>
      </c>
      <c r="BC40" s="2" t="str">
        <f>IF(OR(D40="",D40="-"),"",IF((COUNTA(BC41:BC$100)-COUNTBLANK(BC41:BC$100))=0,D40,IF((COUNTA(BC41:BC$100)-COUNTBLANK(BC41:BC$100))=1,CONCATENATE(D40," و "),CONCATENATE(D40,"، "))))</f>
        <v/>
      </c>
      <c r="BD40" s="2" t="str">
        <f>IF(OR(E40="",E40="-"),"",IF((COUNTA(BD41:BD$100)-COUNTBLANK(BD41:BD$100))=0,E40,IF((COUNTA(BD41:BD$100)-COUNTBLANK(BD41:BD$100))=1,CONCATENATE(E40," و "),CONCATENATE(E40,"، "))))</f>
        <v/>
      </c>
      <c r="BE40" s="2" t="str">
        <f>IF(OR(F40="",F40="-"),"",IF((COUNTA(BE41:BE$100)-COUNTBLANK(BE41:BE$100))=0,F40,IF((COUNTA(BE41:BE$100)-COUNTBLANK(BE41:BE$100))=1,CONCATENATE(F40," و "),CONCATENATE(F40,"، "))))</f>
        <v/>
      </c>
      <c r="BF40" s="2" t="str">
        <f>IF(OR(G40="",G40="-"),"",IF((COUNTA(BF41:BF$100)-COUNTBLANK(BF41:BF$100))=0,G40,IF((COUNTA(BF41:BF$100)-COUNTBLANK(BF41:BF$100))=1,CONCATENATE(G40," و "),CONCATENATE(G40,"، "))))</f>
        <v/>
      </c>
      <c r="BG40" s="2" t="str">
        <f>IF(OR(H40="",H40="-"),"",IF((COUNTA(BG41:BG$100)-COUNTBLANK(BG41:BG$100))=0,H40,IF((COUNTA(BG41:BG$100)-COUNTBLANK(BG41:BG$100))=1,CONCATENATE(H40," و "),CONCATENATE(H40,"، "))))</f>
        <v/>
      </c>
      <c r="BH40" s="2" t="str">
        <f>IF(OR(I40="",I40="-"),"",IF((COUNTA(BH41:BH$100)-COUNTBLANK(BH41:BH$100))=0,I40,IF((COUNTA(BH41:BH$100)-COUNTBLANK(BH41:BH$100))=1,CONCATENATE(I40," و "),CONCATENATE(I40,"، "))))</f>
        <v/>
      </c>
      <c r="BI40" s="2" t="str">
        <f>IF(OR(J40="",J40="-"),"",IF((COUNTA(BI41:BI$100)-COUNTBLANK(BI41:BI$100))=0,J40,IF((COUNTA(BI41:BI$100)-COUNTBLANK(BI41:BI$100))=1,CONCATENATE(J40," و "),CONCATENATE(J40,"، "))))</f>
        <v/>
      </c>
      <c r="BJ40" s="2" t="str">
        <f>IF(M40="","",IF((COUNTA(BJ41:$BJ$100)-COUNTBLANK(BJ41:$BJ$100)&gt;0),CONCATENATE(M40,CHAR(10)),M40))</f>
        <v/>
      </c>
      <c r="BK40" s="6"/>
      <c r="BL40" s="2"/>
      <c r="BM40" s="2"/>
      <c r="BN40" s="2"/>
      <c r="BO40" s="2"/>
    </row>
    <row r="41" spans="1:67" x14ac:dyDescent="0.3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13"/>
      <c r="Z41" s="2"/>
      <c r="AA41" s="2"/>
      <c r="AB41" s="2"/>
      <c r="AC41" s="2"/>
      <c r="AD41" s="2"/>
      <c r="AE41" s="2"/>
      <c r="AF41" s="2"/>
      <c r="BA41" s="2" t="str">
        <f>IF(OR(B41="",B41="-"),"",IF((COUNTA(BA42:BA$100)-COUNTBLANK(BA42:BA$100))=0,B41,IF((COUNTA(BA42:BA$100)-COUNTBLANK(BA42:BA$100))=1,CONCATENATE(B41," و "),CONCATENATE(B41,"، "))))</f>
        <v/>
      </c>
      <c r="BB41" s="2" t="str">
        <f>IF(OR(C41="",C41="-"),"",IF((COUNTA(BB42:BB$100)-COUNTBLANK(BB42:BB$100))=0,C41,IF((COUNTA(BB42:BB$100)-COUNTBLANK(BB42:BB$100))=1,CONCATENATE(C41," و "),CONCATENATE(C41,"، "))))</f>
        <v/>
      </c>
      <c r="BC41" s="2" t="str">
        <f>IF(OR(D41="",D41="-"),"",IF((COUNTA(BC42:BC$100)-COUNTBLANK(BC42:BC$100))=0,D41,IF((COUNTA(BC42:BC$100)-COUNTBLANK(BC42:BC$100))=1,CONCATENATE(D41," و "),CONCATENATE(D41,"، "))))</f>
        <v/>
      </c>
      <c r="BD41" s="2" t="str">
        <f>IF(OR(E41="",E41="-"),"",IF((COUNTA(BD42:BD$100)-COUNTBLANK(BD42:BD$100))=0,E41,IF((COUNTA(BD42:BD$100)-COUNTBLANK(BD42:BD$100))=1,CONCATENATE(E41," و "),CONCATENATE(E41,"، "))))</f>
        <v/>
      </c>
      <c r="BE41" s="2" t="str">
        <f>IF(OR(F41="",F41="-"),"",IF((COUNTA(BE42:BE$100)-COUNTBLANK(BE42:BE$100))=0,F41,IF((COUNTA(BE42:BE$100)-COUNTBLANK(BE42:BE$100))=1,CONCATENATE(F41," و "),CONCATENATE(F41,"، "))))</f>
        <v/>
      </c>
      <c r="BF41" s="2" t="str">
        <f>IF(OR(G41="",G41="-"),"",IF((COUNTA(BF42:BF$100)-COUNTBLANK(BF42:BF$100))=0,G41,IF((COUNTA(BF42:BF$100)-COUNTBLANK(BF42:BF$100))=1,CONCATENATE(G41," و "),CONCATENATE(G41,"، "))))</f>
        <v/>
      </c>
      <c r="BG41" s="2" t="str">
        <f>IF(OR(H41="",H41="-"),"",IF((COUNTA(BG42:BG$100)-COUNTBLANK(BG42:BG$100))=0,H41,IF((COUNTA(BG42:BG$100)-COUNTBLANK(BG42:BG$100))=1,CONCATENATE(H41," و "),CONCATENATE(H41,"، "))))</f>
        <v/>
      </c>
      <c r="BH41" s="2" t="str">
        <f>IF(OR(I41="",I41="-"),"",IF((COUNTA(BH42:BH$100)-COUNTBLANK(BH42:BH$100))=0,I41,IF((COUNTA(BH42:BH$100)-COUNTBLANK(BH42:BH$100))=1,CONCATENATE(I41," و "),CONCATENATE(I41,"، "))))</f>
        <v/>
      </c>
      <c r="BI41" s="2" t="str">
        <f>IF(OR(J41="",J41="-"),"",IF((COUNTA(BI42:BI$100)-COUNTBLANK(BI42:BI$100))=0,J41,IF((COUNTA(BI42:BI$100)-COUNTBLANK(BI42:BI$100))=1,CONCATENATE(J41," و "),CONCATENATE(J41,"، "))))</f>
        <v/>
      </c>
      <c r="BJ41" s="2" t="str">
        <f>IF(M41="","",IF((COUNTA(BJ42:$BJ$100)-COUNTBLANK(BJ42:$BJ$100)&gt;0),CONCATENATE(M41,CHAR(10)),M41))</f>
        <v/>
      </c>
      <c r="BK41" s="6"/>
      <c r="BL41" s="2"/>
      <c r="BM41" s="2"/>
      <c r="BN41" s="2"/>
      <c r="BO41" s="2"/>
    </row>
    <row r="42" spans="1:67" x14ac:dyDescent="0.3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13"/>
      <c r="Z42" s="2"/>
      <c r="AA42" s="2"/>
      <c r="AB42" s="2"/>
      <c r="AC42" s="2"/>
      <c r="AD42" s="2"/>
      <c r="AE42" s="2"/>
      <c r="AF42" s="2"/>
      <c r="BA42" s="2" t="str">
        <f>IF(OR(B42="",B42="-"),"",IF((COUNTA(BA43:BA$100)-COUNTBLANK(BA43:BA$100))=0,B42,IF((COUNTA(BA43:BA$100)-COUNTBLANK(BA43:BA$100))=1,CONCATENATE(B42," و "),CONCATENATE(B42,"، "))))</f>
        <v/>
      </c>
      <c r="BB42" s="2" t="str">
        <f>IF(OR(C42="",C42="-"),"",IF((COUNTA(BB43:BB$100)-COUNTBLANK(BB43:BB$100))=0,C42,IF((COUNTA(BB43:BB$100)-COUNTBLANK(BB43:BB$100))=1,CONCATENATE(C42," و "),CONCATENATE(C42,"، "))))</f>
        <v/>
      </c>
      <c r="BC42" s="2" t="str">
        <f>IF(OR(D42="",D42="-"),"",IF((COUNTA(BC43:BC$100)-COUNTBLANK(BC43:BC$100))=0,D42,IF((COUNTA(BC43:BC$100)-COUNTBLANK(BC43:BC$100))=1,CONCATENATE(D42," و "),CONCATENATE(D42,"، "))))</f>
        <v/>
      </c>
      <c r="BD42" s="2" t="str">
        <f>IF(OR(E42="",E42="-"),"",IF((COUNTA(BD43:BD$100)-COUNTBLANK(BD43:BD$100))=0,E42,IF((COUNTA(BD43:BD$100)-COUNTBLANK(BD43:BD$100))=1,CONCATENATE(E42," و "),CONCATENATE(E42,"، "))))</f>
        <v/>
      </c>
      <c r="BE42" s="2" t="str">
        <f>IF(OR(F42="",F42="-"),"",IF((COUNTA(BE43:BE$100)-COUNTBLANK(BE43:BE$100))=0,F42,IF((COUNTA(BE43:BE$100)-COUNTBLANK(BE43:BE$100))=1,CONCATENATE(F42," و "),CONCATENATE(F42,"، "))))</f>
        <v/>
      </c>
      <c r="BF42" s="2" t="str">
        <f>IF(OR(G42="",G42="-"),"",IF((COUNTA(BF43:BF$100)-COUNTBLANK(BF43:BF$100))=0,G42,IF((COUNTA(BF43:BF$100)-COUNTBLANK(BF43:BF$100))=1,CONCATENATE(G42," و "),CONCATENATE(G42,"، "))))</f>
        <v/>
      </c>
      <c r="BG42" s="2" t="str">
        <f>IF(OR(H42="",H42="-"),"",IF((COUNTA(BG43:BG$100)-COUNTBLANK(BG43:BG$100))=0,H42,IF((COUNTA(BG43:BG$100)-COUNTBLANK(BG43:BG$100))=1,CONCATENATE(H42," و "),CONCATENATE(H42,"، "))))</f>
        <v/>
      </c>
      <c r="BH42" s="2" t="str">
        <f>IF(OR(I42="",I42="-"),"",IF((COUNTA(BH43:BH$100)-COUNTBLANK(BH43:BH$100))=0,I42,IF((COUNTA(BH43:BH$100)-COUNTBLANK(BH43:BH$100))=1,CONCATENATE(I42," و "),CONCATENATE(I42,"، "))))</f>
        <v/>
      </c>
      <c r="BI42" s="2" t="str">
        <f>IF(OR(J42="",J42="-"),"",IF((COUNTA(BI43:BI$100)-COUNTBLANK(BI43:BI$100))=0,J42,IF((COUNTA(BI43:BI$100)-COUNTBLANK(BI43:BI$100))=1,CONCATENATE(J42," و "),CONCATENATE(J42,"، "))))</f>
        <v/>
      </c>
      <c r="BJ42" s="2" t="str">
        <f>IF(M42="","",IF((COUNTA(BJ43:$BJ$100)-COUNTBLANK(BJ43:$BJ$100)&gt;0),CONCATENATE(M42,CHAR(10)),M42))</f>
        <v/>
      </c>
      <c r="BK42" s="6"/>
      <c r="BL42" s="2"/>
      <c r="BM42" s="2"/>
      <c r="BN42" s="2"/>
      <c r="BO42" s="2"/>
    </row>
    <row r="43" spans="1:67" x14ac:dyDescent="0.3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13"/>
      <c r="Z43" s="2"/>
      <c r="AA43" s="2"/>
      <c r="AB43" s="2"/>
      <c r="AC43" s="2"/>
      <c r="AD43" s="2"/>
      <c r="AE43" s="2"/>
      <c r="AF43" s="2"/>
      <c r="BA43" s="2" t="str">
        <f>IF(OR(B43="",B43="-"),"",IF((COUNTA(BA44:BA$100)-COUNTBLANK(BA44:BA$100))=0,B43,IF((COUNTA(BA44:BA$100)-COUNTBLANK(BA44:BA$100))=1,CONCATENATE(B43," و "),CONCATENATE(B43,"، "))))</f>
        <v/>
      </c>
      <c r="BB43" s="2" t="str">
        <f>IF(OR(C43="",C43="-"),"",IF((COUNTA(BB44:BB$100)-COUNTBLANK(BB44:BB$100))=0,C43,IF((COUNTA(BB44:BB$100)-COUNTBLANK(BB44:BB$100))=1,CONCATENATE(C43," و "),CONCATENATE(C43,"، "))))</f>
        <v/>
      </c>
      <c r="BC43" s="2" t="str">
        <f>IF(OR(D43="",D43="-"),"",IF((COUNTA(BC44:BC$100)-COUNTBLANK(BC44:BC$100))=0,D43,IF((COUNTA(BC44:BC$100)-COUNTBLANK(BC44:BC$100))=1,CONCATENATE(D43," و "),CONCATENATE(D43,"، "))))</f>
        <v/>
      </c>
      <c r="BD43" s="2" t="str">
        <f>IF(OR(E43="",E43="-"),"",IF((COUNTA(BD44:BD$100)-COUNTBLANK(BD44:BD$100))=0,E43,IF((COUNTA(BD44:BD$100)-COUNTBLANK(BD44:BD$100))=1,CONCATENATE(E43," و "),CONCATENATE(E43,"، "))))</f>
        <v/>
      </c>
      <c r="BE43" s="2" t="str">
        <f>IF(OR(F43="",F43="-"),"",IF((COUNTA(BE44:BE$100)-COUNTBLANK(BE44:BE$100))=0,F43,IF((COUNTA(BE44:BE$100)-COUNTBLANK(BE44:BE$100))=1,CONCATENATE(F43," و "),CONCATENATE(F43,"، "))))</f>
        <v/>
      </c>
      <c r="BF43" s="2" t="str">
        <f>IF(OR(G43="",G43="-"),"",IF((COUNTA(BF44:BF$100)-COUNTBLANK(BF44:BF$100))=0,G43,IF((COUNTA(BF44:BF$100)-COUNTBLANK(BF44:BF$100))=1,CONCATENATE(G43," و "),CONCATENATE(G43,"، "))))</f>
        <v/>
      </c>
      <c r="BG43" s="2" t="str">
        <f>IF(OR(H43="",H43="-"),"",IF((COUNTA(BG44:BG$100)-COUNTBLANK(BG44:BG$100))=0,H43,IF((COUNTA(BG44:BG$100)-COUNTBLANK(BG44:BG$100))=1,CONCATENATE(H43," و "),CONCATENATE(H43,"، "))))</f>
        <v/>
      </c>
      <c r="BH43" s="2" t="str">
        <f>IF(OR(I43="",I43="-"),"",IF((COUNTA(BH44:BH$100)-COUNTBLANK(BH44:BH$100))=0,I43,IF((COUNTA(BH44:BH$100)-COUNTBLANK(BH44:BH$100))=1,CONCATENATE(I43," و "),CONCATENATE(I43,"، "))))</f>
        <v/>
      </c>
      <c r="BI43" s="2" t="str">
        <f>IF(OR(J43="",J43="-"),"",IF((COUNTA(BI44:BI$100)-COUNTBLANK(BI44:BI$100))=0,J43,IF((COUNTA(BI44:BI$100)-COUNTBLANK(BI44:BI$100))=1,CONCATENATE(J43," و "),CONCATENATE(J43,"، "))))</f>
        <v/>
      </c>
      <c r="BJ43" s="2" t="str">
        <f>IF(M43="","",IF((COUNTA(BJ44:$BJ$100)-COUNTBLANK(BJ44:$BJ$100)&gt;0),CONCATENATE(M43,CHAR(10)),M43))</f>
        <v/>
      </c>
      <c r="BK43" s="6"/>
      <c r="BL43" s="2"/>
      <c r="BM43" s="2"/>
      <c r="BN43" s="2"/>
      <c r="BO43" s="2"/>
    </row>
    <row r="44" spans="1:67" x14ac:dyDescent="0.3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13"/>
      <c r="Z44" s="2"/>
      <c r="AA44" s="2"/>
      <c r="AB44" s="2"/>
      <c r="AC44" s="2"/>
      <c r="AD44" s="2"/>
      <c r="AE44" s="2"/>
      <c r="AF44" s="2"/>
      <c r="BA44" s="2" t="str">
        <f>IF(OR(B44="",B44="-"),"",IF((COUNTA(BA45:BA$100)-COUNTBLANK(BA45:BA$100))=0,B44,IF((COUNTA(BA45:BA$100)-COUNTBLANK(BA45:BA$100))=1,CONCATENATE(B44," و "),CONCATENATE(B44,"، "))))</f>
        <v/>
      </c>
      <c r="BB44" s="2" t="str">
        <f>IF(OR(C44="",C44="-"),"",IF((COUNTA(BB45:BB$100)-COUNTBLANK(BB45:BB$100))=0,C44,IF((COUNTA(BB45:BB$100)-COUNTBLANK(BB45:BB$100))=1,CONCATENATE(C44," و "),CONCATENATE(C44,"، "))))</f>
        <v/>
      </c>
      <c r="BC44" s="2" t="str">
        <f>IF(OR(D44="",D44="-"),"",IF((COUNTA(BC45:BC$100)-COUNTBLANK(BC45:BC$100))=0,D44,IF((COUNTA(BC45:BC$100)-COUNTBLANK(BC45:BC$100))=1,CONCATENATE(D44," و "),CONCATENATE(D44,"، "))))</f>
        <v/>
      </c>
      <c r="BD44" s="2" t="str">
        <f>IF(OR(E44="",E44="-"),"",IF((COUNTA(BD45:BD$100)-COUNTBLANK(BD45:BD$100))=0,E44,IF((COUNTA(BD45:BD$100)-COUNTBLANK(BD45:BD$100))=1,CONCATENATE(E44," و "),CONCATENATE(E44,"، "))))</f>
        <v/>
      </c>
      <c r="BE44" s="2" t="str">
        <f>IF(OR(F44="",F44="-"),"",IF((COUNTA(BE45:BE$100)-COUNTBLANK(BE45:BE$100))=0,F44,IF((COUNTA(BE45:BE$100)-COUNTBLANK(BE45:BE$100))=1,CONCATENATE(F44," و "),CONCATENATE(F44,"، "))))</f>
        <v/>
      </c>
      <c r="BF44" s="2" t="str">
        <f>IF(OR(G44="",G44="-"),"",IF((COUNTA(BF45:BF$100)-COUNTBLANK(BF45:BF$100))=0,G44,IF((COUNTA(BF45:BF$100)-COUNTBLANK(BF45:BF$100))=1,CONCATENATE(G44," و "),CONCATENATE(G44,"، "))))</f>
        <v/>
      </c>
      <c r="BG44" s="2" t="str">
        <f>IF(OR(H44="",H44="-"),"",IF((COUNTA(BG45:BG$100)-COUNTBLANK(BG45:BG$100))=0,H44,IF((COUNTA(BG45:BG$100)-COUNTBLANK(BG45:BG$100))=1,CONCATENATE(H44," و "),CONCATENATE(H44,"، "))))</f>
        <v/>
      </c>
      <c r="BH44" s="2" t="str">
        <f>IF(OR(I44="",I44="-"),"",IF((COUNTA(BH45:BH$100)-COUNTBLANK(BH45:BH$100))=0,I44,IF((COUNTA(BH45:BH$100)-COUNTBLANK(BH45:BH$100))=1,CONCATENATE(I44," و "),CONCATENATE(I44,"، "))))</f>
        <v/>
      </c>
      <c r="BI44" s="2" t="str">
        <f>IF(OR(J44="",J44="-"),"",IF((COUNTA(BI45:BI$100)-COUNTBLANK(BI45:BI$100))=0,J44,IF((COUNTA(BI45:BI$100)-COUNTBLANK(BI45:BI$100))=1,CONCATENATE(J44," و "),CONCATENATE(J44,"، "))))</f>
        <v/>
      </c>
      <c r="BJ44" s="2" t="str">
        <f>IF(M44="","",IF((COUNTA(BJ45:$BJ$100)-COUNTBLANK(BJ45:$BJ$100)&gt;0),CONCATENATE(M44,CHAR(10)),M44))</f>
        <v/>
      </c>
      <c r="BK44" s="6"/>
      <c r="BL44" s="2"/>
      <c r="BM44" s="2"/>
      <c r="BN44" s="2"/>
      <c r="BO44" s="2"/>
    </row>
    <row r="45" spans="1:67" x14ac:dyDescent="0.3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13"/>
      <c r="Z45" s="2"/>
      <c r="AA45" s="2"/>
      <c r="AB45" s="2"/>
      <c r="AC45" s="2"/>
      <c r="AD45" s="2"/>
      <c r="AE45" s="2"/>
      <c r="AF45" s="2"/>
      <c r="BA45" s="2" t="str">
        <f>IF(OR(B45="",B45="-"),"",IF((COUNTA(BA46:BA$100)-COUNTBLANK(BA46:BA$100))=0,B45,IF((COUNTA(BA46:BA$100)-COUNTBLANK(BA46:BA$100))=1,CONCATENATE(B45," و "),CONCATENATE(B45,"، "))))</f>
        <v/>
      </c>
      <c r="BB45" s="2" t="str">
        <f>IF(OR(C45="",C45="-"),"",IF((COUNTA(BB46:BB$100)-COUNTBLANK(BB46:BB$100))=0,C45,IF((COUNTA(BB46:BB$100)-COUNTBLANK(BB46:BB$100))=1,CONCATENATE(C45," و "),CONCATENATE(C45,"، "))))</f>
        <v/>
      </c>
      <c r="BC45" s="2" t="str">
        <f>IF(OR(D45="",D45="-"),"",IF((COUNTA(BC46:BC$100)-COUNTBLANK(BC46:BC$100))=0,D45,IF((COUNTA(BC46:BC$100)-COUNTBLANK(BC46:BC$100))=1,CONCATENATE(D45," و "),CONCATENATE(D45,"، "))))</f>
        <v/>
      </c>
      <c r="BD45" s="2" t="str">
        <f>IF(OR(E45="",E45="-"),"",IF((COUNTA(BD46:BD$100)-COUNTBLANK(BD46:BD$100))=0,E45,IF((COUNTA(BD46:BD$100)-COUNTBLANK(BD46:BD$100))=1,CONCATENATE(E45," و "),CONCATENATE(E45,"، "))))</f>
        <v/>
      </c>
      <c r="BE45" s="2" t="str">
        <f>IF(OR(F45="",F45="-"),"",IF((COUNTA(BE46:BE$100)-COUNTBLANK(BE46:BE$100))=0,F45,IF((COUNTA(BE46:BE$100)-COUNTBLANK(BE46:BE$100))=1,CONCATENATE(F45," و "),CONCATENATE(F45,"، "))))</f>
        <v/>
      </c>
      <c r="BF45" s="2" t="str">
        <f>IF(OR(G45="",G45="-"),"",IF((COUNTA(BF46:BF$100)-COUNTBLANK(BF46:BF$100))=0,G45,IF((COUNTA(BF46:BF$100)-COUNTBLANK(BF46:BF$100))=1,CONCATENATE(G45," و "),CONCATENATE(G45,"، "))))</f>
        <v/>
      </c>
      <c r="BG45" s="2" t="str">
        <f>IF(OR(H45="",H45="-"),"",IF((COUNTA(BG46:BG$100)-COUNTBLANK(BG46:BG$100))=0,H45,IF((COUNTA(BG46:BG$100)-COUNTBLANK(BG46:BG$100))=1,CONCATENATE(H45," و "),CONCATENATE(H45,"، "))))</f>
        <v/>
      </c>
      <c r="BH45" s="2" t="str">
        <f>IF(OR(I45="",I45="-"),"",IF((COUNTA(BH46:BH$100)-COUNTBLANK(BH46:BH$100))=0,I45,IF((COUNTA(BH46:BH$100)-COUNTBLANK(BH46:BH$100))=1,CONCATENATE(I45," و "),CONCATENATE(I45,"، "))))</f>
        <v/>
      </c>
      <c r="BI45" s="2" t="str">
        <f>IF(OR(J45="",J45="-"),"",IF((COUNTA(BI46:BI$100)-COUNTBLANK(BI46:BI$100))=0,J45,IF((COUNTA(BI46:BI$100)-COUNTBLANK(BI46:BI$100))=1,CONCATENATE(J45," و "),CONCATENATE(J45,"، "))))</f>
        <v/>
      </c>
      <c r="BJ45" s="2" t="str">
        <f>IF(M45="","",IF((COUNTA(BJ46:$BJ$100)-COUNTBLANK(BJ46:$BJ$100)&gt;0),CONCATENATE(M45,CHAR(10)),M45))</f>
        <v/>
      </c>
      <c r="BK45" s="6"/>
      <c r="BL45" s="2"/>
      <c r="BM45" s="2"/>
      <c r="BN45" s="2"/>
      <c r="BO45" s="2"/>
    </row>
    <row r="46" spans="1:67" x14ac:dyDescent="0.3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13"/>
      <c r="Z46" s="2"/>
      <c r="AA46" s="2"/>
      <c r="AB46" s="2"/>
      <c r="AC46" s="2"/>
      <c r="AD46" s="2"/>
      <c r="AE46" s="2"/>
      <c r="AF46" s="2"/>
      <c r="BA46" s="2" t="str">
        <f>IF(OR(B46="",B46="-"),"",IF((COUNTA(BA47:BA$100)-COUNTBLANK(BA47:BA$100))=0,B46,IF((COUNTA(BA47:BA$100)-COUNTBLANK(BA47:BA$100))=1,CONCATENATE(B46," و "),CONCATENATE(B46,"، "))))</f>
        <v/>
      </c>
      <c r="BB46" s="2" t="str">
        <f>IF(OR(C46="",C46="-"),"",IF((COUNTA(BB47:BB$100)-COUNTBLANK(BB47:BB$100))=0,C46,IF((COUNTA(BB47:BB$100)-COUNTBLANK(BB47:BB$100))=1,CONCATENATE(C46," و "),CONCATENATE(C46,"، "))))</f>
        <v/>
      </c>
      <c r="BC46" s="2" t="str">
        <f>IF(OR(D46="",D46="-"),"",IF((COUNTA(BC47:BC$100)-COUNTBLANK(BC47:BC$100))=0,D46,IF((COUNTA(BC47:BC$100)-COUNTBLANK(BC47:BC$100))=1,CONCATENATE(D46," و "),CONCATENATE(D46,"، "))))</f>
        <v/>
      </c>
      <c r="BD46" s="2" t="str">
        <f>IF(OR(E46="",E46="-"),"",IF((COUNTA(BD47:BD$100)-COUNTBLANK(BD47:BD$100))=0,E46,IF((COUNTA(BD47:BD$100)-COUNTBLANK(BD47:BD$100))=1,CONCATENATE(E46," و "),CONCATENATE(E46,"، "))))</f>
        <v/>
      </c>
      <c r="BE46" s="2" t="str">
        <f>IF(OR(F46="",F46="-"),"",IF((COUNTA(BE47:BE$100)-COUNTBLANK(BE47:BE$100))=0,F46,IF((COUNTA(BE47:BE$100)-COUNTBLANK(BE47:BE$100))=1,CONCATENATE(F46," و "),CONCATENATE(F46,"، "))))</f>
        <v/>
      </c>
      <c r="BF46" s="2" t="str">
        <f>IF(OR(G46="",G46="-"),"",IF((COUNTA(BF47:BF$100)-COUNTBLANK(BF47:BF$100))=0,G46,IF((COUNTA(BF47:BF$100)-COUNTBLANK(BF47:BF$100))=1,CONCATENATE(G46," و "),CONCATENATE(G46,"، "))))</f>
        <v/>
      </c>
      <c r="BG46" s="2" t="str">
        <f>IF(OR(H46="",H46="-"),"",IF((COUNTA(BG47:BG$100)-COUNTBLANK(BG47:BG$100))=0,H46,IF((COUNTA(BG47:BG$100)-COUNTBLANK(BG47:BG$100))=1,CONCATENATE(H46," و "),CONCATENATE(H46,"، "))))</f>
        <v/>
      </c>
      <c r="BH46" s="2" t="str">
        <f>IF(OR(I46="",I46="-"),"",IF((COUNTA(BH47:BH$100)-COUNTBLANK(BH47:BH$100))=0,I46,IF((COUNTA(BH47:BH$100)-COUNTBLANK(BH47:BH$100))=1,CONCATENATE(I46," و "),CONCATENATE(I46,"، "))))</f>
        <v/>
      </c>
      <c r="BI46" s="2" t="str">
        <f>IF(OR(J46="",J46="-"),"",IF((COUNTA(BI47:BI$100)-COUNTBLANK(BI47:BI$100))=0,J46,IF((COUNTA(BI47:BI$100)-COUNTBLANK(BI47:BI$100))=1,CONCATENATE(J46," و "),CONCATENATE(J46,"، "))))</f>
        <v/>
      </c>
      <c r="BJ46" s="2" t="str">
        <f>IF(M46="","",IF((COUNTA(BJ47:$BJ$100)-COUNTBLANK(BJ47:$BJ$100)&gt;0),CONCATENATE(M46,CHAR(10)),M46))</f>
        <v/>
      </c>
      <c r="BK46" s="6"/>
      <c r="BL46" s="2"/>
      <c r="BM46" s="2"/>
      <c r="BN46" s="2"/>
      <c r="BO46" s="2"/>
    </row>
    <row r="47" spans="1:67" x14ac:dyDescent="0.3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13"/>
      <c r="Z47" s="2"/>
      <c r="AA47" s="2"/>
      <c r="AB47" s="2"/>
      <c r="AC47" s="2"/>
      <c r="AD47" s="2"/>
      <c r="AE47" s="2"/>
      <c r="AF47" s="2"/>
      <c r="BA47" s="2" t="str">
        <f>IF(OR(B47="",B47="-"),"",IF((COUNTA(BA48:BA$100)-COUNTBLANK(BA48:BA$100))=0,B47,IF((COUNTA(BA48:BA$100)-COUNTBLANK(BA48:BA$100))=1,CONCATENATE(B47," و "),CONCATENATE(B47,"، "))))</f>
        <v/>
      </c>
      <c r="BB47" s="2" t="str">
        <f>IF(OR(C47="",C47="-"),"",IF((COUNTA(BB48:BB$100)-COUNTBLANK(BB48:BB$100))=0,C47,IF((COUNTA(BB48:BB$100)-COUNTBLANK(BB48:BB$100))=1,CONCATENATE(C47," و "),CONCATENATE(C47,"، "))))</f>
        <v/>
      </c>
      <c r="BC47" s="2" t="str">
        <f>IF(OR(D47="",D47="-"),"",IF((COUNTA(BC48:BC$100)-COUNTBLANK(BC48:BC$100))=0,D47,IF((COUNTA(BC48:BC$100)-COUNTBLANK(BC48:BC$100))=1,CONCATENATE(D47," و "),CONCATENATE(D47,"، "))))</f>
        <v/>
      </c>
      <c r="BD47" s="2" t="str">
        <f>IF(OR(E47="",E47="-"),"",IF((COUNTA(BD48:BD$100)-COUNTBLANK(BD48:BD$100))=0,E47,IF((COUNTA(BD48:BD$100)-COUNTBLANK(BD48:BD$100))=1,CONCATENATE(E47," و "),CONCATENATE(E47,"، "))))</f>
        <v/>
      </c>
      <c r="BE47" s="2" t="str">
        <f>IF(OR(F47="",F47="-"),"",IF((COUNTA(BE48:BE$100)-COUNTBLANK(BE48:BE$100))=0,F47,IF((COUNTA(BE48:BE$100)-COUNTBLANK(BE48:BE$100))=1,CONCATENATE(F47," و "),CONCATENATE(F47,"، "))))</f>
        <v/>
      </c>
      <c r="BF47" s="2" t="str">
        <f>IF(OR(G47="",G47="-"),"",IF((COUNTA(BF48:BF$100)-COUNTBLANK(BF48:BF$100))=0,G47,IF((COUNTA(BF48:BF$100)-COUNTBLANK(BF48:BF$100))=1,CONCATENATE(G47," و "),CONCATENATE(G47,"، "))))</f>
        <v/>
      </c>
      <c r="BG47" s="2" t="str">
        <f>IF(OR(H47="",H47="-"),"",IF((COUNTA(BG48:BG$100)-COUNTBLANK(BG48:BG$100))=0,H47,IF((COUNTA(BG48:BG$100)-COUNTBLANK(BG48:BG$100))=1,CONCATENATE(H47," و "),CONCATENATE(H47,"، "))))</f>
        <v/>
      </c>
      <c r="BH47" s="2" t="str">
        <f>IF(OR(I47="",I47="-"),"",IF((COUNTA(BH48:BH$100)-COUNTBLANK(BH48:BH$100))=0,I47,IF((COUNTA(BH48:BH$100)-COUNTBLANK(BH48:BH$100))=1,CONCATENATE(I47," و "),CONCATENATE(I47,"، "))))</f>
        <v/>
      </c>
      <c r="BI47" s="2" t="str">
        <f>IF(OR(J47="",J47="-"),"",IF((COUNTA(BI48:BI$100)-COUNTBLANK(BI48:BI$100))=0,J47,IF((COUNTA(BI48:BI$100)-COUNTBLANK(BI48:BI$100))=1,CONCATENATE(J47," و "),CONCATENATE(J47,"، "))))</f>
        <v/>
      </c>
      <c r="BJ47" s="2" t="str">
        <f>IF(M47="","",IF((COUNTA(BJ48:$BJ$100)-COUNTBLANK(BJ48:$BJ$100)&gt;0),CONCATENATE(M47,CHAR(10)),M47))</f>
        <v/>
      </c>
      <c r="BK47" s="6"/>
      <c r="BL47" s="2"/>
      <c r="BM47" s="2"/>
      <c r="BN47" s="2"/>
      <c r="BO47" s="2"/>
    </row>
    <row r="48" spans="1:67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13"/>
      <c r="Z48" s="2"/>
      <c r="AA48" s="2"/>
      <c r="AB48" s="2"/>
      <c r="AC48" s="2"/>
      <c r="AD48" s="2"/>
      <c r="AE48" s="2"/>
      <c r="AF48" s="2"/>
      <c r="BA48" s="2" t="str">
        <f>IF(OR(B48="",B48="-"),"",IF((COUNTA(BA49:BA$100)-COUNTBLANK(BA49:BA$100))=0,B48,IF((COUNTA(BA49:BA$100)-COUNTBLANK(BA49:BA$100))=1,CONCATENATE(B48," و "),CONCATENATE(B48,"، "))))</f>
        <v/>
      </c>
      <c r="BB48" s="2" t="str">
        <f>IF(OR(C48="",C48="-"),"",IF((COUNTA(BB49:BB$100)-COUNTBLANK(BB49:BB$100))=0,C48,IF((COUNTA(BB49:BB$100)-COUNTBLANK(BB49:BB$100))=1,CONCATENATE(C48," و "),CONCATENATE(C48,"، "))))</f>
        <v/>
      </c>
      <c r="BC48" s="2" t="str">
        <f>IF(OR(D48="",D48="-"),"",IF((COUNTA(BC49:BC$100)-COUNTBLANK(BC49:BC$100))=0,D48,IF((COUNTA(BC49:BC$100)-COUNTBLANK(BC49:BC$100))=1,CONCATENATE(D48," و "),CONCATENATE(D48,"، "))))</f>
        <v/>
      </c>
      <c r="BD48" s="2" t="str">
        <f>IF(OR(E48="",E48="-"),"",IF((COUNTA(BD49:BD$100)-COUNTBLANK(BD49:BD$100))=0,E48,IF((COUNTA(BD49:BD$100)-COUNTBLANK(BD49:BD$100))=1,CONCATENATE(E48," و "),CONCATENATE(E48,"، "))))</f>
        <v/>
      </c>
      <c r="BE48" s="2" t="str">
        <f>IF(OR(F48="",F48="-"),"",IF((COUNTA(BE49:BE$100)-COUNTBLANK(BE49:BE$100))=0,F48,IF((COUNTA(BE49:BE$100)-COUNTBLANK(BE49:BE$100))=1,CONCATENATE(F48," و "),CONCATENATE(F48,"، "))))</f>
        <v/>
      </c>
      <c r="BF48" s="2" t="str">
        <f>IF(OR(G48="",G48="-"),"",IF((COUNTA(BF49:BF$100)-COUNTBLANK(BF49:BF$100))=0,G48,IF((COUNTA(BF49:BF$100)-COUNTBLANK(BF49:BF$100))=1,CONCATENATE(G48," و "),CONCATENATE(G48,"، "))))</f>
        <v/>
      </c>
      <c r="BG48" s="2" t="str">
        <f>IF(OR(H48="",H48="-"),"",IF((COUNTA(BG49:BG$100)-COUNTBLANK(BG49:BG$100))=0,H48,IF((COUNTA(BG49:BG$100)-COUNTBLANK(BG49:BG$100))=1,CONCATENATE(H48," و "),CONCATENATE(H48,"، "))))</f>
        <v/>
      </c>
      <c r="BH48" s="2" t="str">
        <f>IF(OR(I48="",I48="-"),"",IF((COUNTA(BH49:BH$100)-COUNTBLANK(BH49:BH$100))=0,I48,IF((COUNTA(BH49:BH$100)-COUNTBLANK(BH49:BH$100))=1,CONCATENATE(I48," و "),CONCATENATE(I48,"، "))))</f>
        <v/>
      </c>
      <c r="BI48" s="2" t="str">
        <f>IF(OR(J48="",J48="-"),"",IF((COUNTA(BI49:BI$100)-COUNTBLANK(BI49:BI$100))=0,J48,IF((COUNTA(BI49:BI$100)-COUNTBLANK(BI49:BI$100))=1,CONCATENATE(J48," و "),CONCATENATE(J48,"، "))))</f>
        <v/>
      </c>
      <c r="BJ48" s="2" t="str">
        <f>IF(M48="","",IF((COUNTA(BJ49:$BJ$100)-COUNTBLANK(BJ49:$BJ$100)&gt;0),CONCATENATE(M48,CHAR(10)),M48))</f>
        <v/>
      </c>
      <c r="BK48" s="6"/>
      <c r="BL48" s="2"/>
      <c r="BM48" s="2"/>
      <c r="BN48" s="2"/>
      <c r="BO48" s="2"/>
    </row>
    <row r="49" spans="1:67" x14ac:dyDescent="0.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13"/>
      <c r="Z49" s="2"/>
      <c r="AA49" s="2"/>
      <c r="AB49" s="2"/>
      <c r="AC49" s="2"/>
      <c r="AD49" s="2"/>
      <c r="AE49" s="2"/>
      <c r="AF49" s="2"/>
      <c r="BA49" s="2" t="str">
        <f>IF(OR(B49="",B49="-"),"",IF((COUNTA(BA50:BA$100)-COUNTBLANK(BA50:BA$100))=0,B49,IF((COUNTA(BA50:BA$100)-COUNTBLANK(BA50:BA$100))=1,CONCATENATE(B49," و "),CONCATENATE(B49,"، "))))</f>
        <v/>
      </c>
      <c r="BB49" s="2" t="str">
        <f>IF(OR(C49="",C49="-"),"",IF((COUNTA(BB50:BB$100)-COUNTBLANK(BB50:BB$100))=0,C49,IF((COUNTA(BB50:BB$100)-COUNTBLANK(BB50:BB$100))=1,CONCATENATE(C49," و "),CONCATENATE(C49,"، "))))</f>
        <v/>
      </c>
      <c r="BC49" s="2" t="str">
        <f>IF(OR(D49="",D49="-"),"",IF((COUNTA(BC50:BC$100)-COUNTBLANK(BC50:BC$100))=0,D49,IF((COUNTA(BC50:BC$100)-COUNTBLANK(BC50:BC$100))=1,CONCATENATE(D49," و "),CONCATENATE(D49,"، "))))</f>
        <v/>
      </c>
      <c r="BD49" s="2" t="str">
        <f>IF(OR(E49="",E49="-"),"",IF((COUNTA(BD50:BD$100)-COUNTBLANK(BD50:BD$100))=0,E49,IF((COUNTA(BD50:BD$100)-COUNTBLANK(BD50:BD$100))=1,CONCATENATE(E49," و "),CONCATENATE(E49,"، "))))</f>
        <v/>
      </c>
      <c r="BE49" s="2" t="str">
        <f>IF(OR(F49="",F49="-"),"",IF((COUNTA(BE50:BE$100)-COUNTBLANK(BE50:BE$100))=0,F49,IF((COUNTA(BE50:BE$100)-COUNTBLANK(BE50:BE$100))=1,CONCATENATE(F49," و "),CONCATENATE(F49,"، "))))</f>
        <v/>
      </c>
      <c r="BF49" s="2" t="str">
        <f>IF(OR(G49="",G49="-"),"",IF((COUNTA(BF50:BF$100)-COUNTBLANK(BF50:BF$100))=0,G49,IF((COUNTA(BF50:BF$100)-COUNTBLANK(BF50:BF$100))=1,CONCATENATE(G49," و "),CONCATENATE(G49,"، "))))</f>
        <v/>
      </c>
      <c r="BG49" s="2" t="str">
        <f>IF(OR(H49="",H49="-"),"",IF((COUNTA(BG50:BG$100)-COUNTBLANK(BG50:BG$100))=0,H49,IF((COUNTA(BG50:BG$100)-COUNTBLANK(BG50:BG$100))=1,CONCATENATE(H49," و "),CONCATENATE(H49,"، "))))</f>
        <v/>
      </c>
      <c r="BH49" s="2" t="str">
        <f>IF(OR(I49="",I49="-"),"",IF((COUNTA(BH50:BH$100)-COUNTBLANK(BH50:BH$100))=0,I49,IF((COUNTA(BH50:BH$100)-COUNTBLANK(BH50:BH$100))=1,CONCATENATE(I49," و "),CONCATENATE(I49,"، "))))</f>
        <v/>
      </c>
      <c r="BI49" s="2" t="str">
        <f>IF(OR(J49="",J49="-"),"",IF((COUNTA(BI50:BI$100)-COUNTBLANK(BI50:BI$100))=0,J49,IF((COUNTA(BI50:BI$100)-COUNTBLANK(BI50:BI$100))=1,CONCATENATE(J49," و "),CONCATENATE(J49,"، "))))</f>
        <v/>
      </c>
      <c r="BJ49" s="2" t="str">
        <f>IF(M49="","",IF((COUNTA(BJ50:$BJ$100)-COUNTBLANK(BJ50:$BJ$100)&gt;0),CONCATENATE(M49,CHAR(10)),M49))</f>
        <v/>
      </c>
      <c r="BK49" s="6"/>
      <c r="BL49" s="2"/>
      <c r="BM49" s="2"/>
      <c r="BN49" s="2"/>
      <c r="BO49" s="2"/>
    </row>
    <row r="50" spans="1:67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13"/>
      <c r="Z50" s="2"/>
      <c r="AA50" s="2"/>
      <c r="AB50" s="2"/>
      <c r="AC50" s="2"/>
      <c r="AD50" s="2"/>
      <c r="AE50" s="2"/>
      <c r="AF50" s="2"/>
      <c r="BA50" s="2" t="str">
        <f>IF(OR(B50="",B50="-"),"",IF((COUNTA(BA51:BA$100)-COUNTBLANK(BA51:BA$100))=0,B50,IF((COUNTA(BA51:BA$100)-COUNTBLANK(BA51:BA$100))=1,CONCATENATE(B50," و "),CONCATENATE(B50,"، "))))</f>
        <v/>
      </c>
      <c r="BB50" s="2" t="str">
        <f>IF(OR(C50="",C50="-"),"",IF((COUNTA(BB51:BB$100)-COUNTBLANK(BB51:BB$100))=0,C50,IF((COUNTA(BB51:BB$100)-COUNTBLANK(BB51:BB$100))=1,CONCATENATE(C50," و "),CONCATENATE(C50,"، "))))</f>
        <v/>
      </c>
      <c r="BC50" s="2" t="str">
        <f>IF(OR(D50="",D50="-"),"",IF((COUNTA(BC51:BC$100)-COUNTBLANK(BC51:BC$100))=0,D50,IF((COUNTA(BC51:BC$100)-COUNTBLANK(BC51:BC$100))=1,CONCATENATE(D50," و "),CONCATENATE(D50,"، "))))</f>
        <v/>
      </c>
      <c r="BD50" s="2" t="str">
        <f>IF(OR(E50="",E50="-"),"",IF((COUNTA(BD51:BD$100)-COUNTBLANK(BD51:BD$100))=0,E50,IF((COUNTA(BD51:BD$100)-COUNTBLANK(BD51:BD$100))=1,CONCATENATE(E50," و "),CONCATENATE(E50,"، "))))</f>
        <v/>
      </c>
      <c r="BE50" s="2" t="str">
        <f>IF(OR(F50="",F50="-"),"",IF((COUNTA(BE51:BE$100)-COUNTBLANK(BE51:BE$100))=0,F50,IF((COUNTA(BE51:BE$100)-COUNTBLANK(BE51:BE$100))=1,CONCATENATE(F50," و "),CONCATENATE(F50,"، "))))</f>
        <v/>
      </c>
      <c r="BF50" s="2" t="str">
        <f>IF(OR(G50="",G50="-"),"",IF((COUNTA(BF51:BF$100)-COUNTBLANK(BF51:BF$100))=0,G50,IF((COUNTA(BF51:BF$100)-COUNTBLANK(BF51:BF$100))=1,CONCATENATE(G50," و "),CONCATENATE(G50,"، "))))</f>
        <v/>
      </c>
      <c r="BG50" s="2" t="str">
        <f>IF(OR(H50="",H50="-"),"",IF((COUNTA(BG51:BG$100)-COUNTBLANK(BG51:BG$100))=0,H50,IF((COUNTA(BG51:BG$100)-COUNTBLANK(BG51:BG$100))=1,CONCATENATE(H50," و "),CONCATENATE(H50,"، "))))</f>
        <v/>
      </c>
      <c r="BH50" s="2" t="str">
        <f>IF(OR(I50="",I50="-"),"",IF((COUNTA(BH51:BH$100)-COUNTBLANK(BH51:BH$100))=0,I50,IF((COUNTA(BH51:BH$100)-COUNTBLANK(BH51:BH$100))=1,CONCATENATE(I50," و "),CONCATENATE(I50,"، "))))</f>
        <v/>
      </c>
      <c r="BI50" s="2" t="str">
        <f>IF(OR(J50="",J50="-"),"",IF((COUNTA(BI51:BI$100)-COUNTBLANK(BI51:BI$100))=0,J50,IF((COUNTA(BI51:BI$100)-COUNTBLANK(BI51:BI$100))=1,CONCATENATE(J50," و "),CONCATENATE(J50,"، "))))</f>
        <v/>
      </c>
      <c r="BJ50" s="2" t="str">
        <f>IF(M50="","",IF((COUNTA(BJ51:$BJ$100)-COUNTBLANK(BJ51:$BJ$100)&gt;0),CONCATENATE(M50,CHAR(10)),M50))</f>
        <v/>
      </c>
      <c r="BK50" s="6"/>
      <c r="BL50" s="2"/>
      <c r="BM50" s="2"/>
      <c r="BN50" s="2"/>
      <c r="BO50" s="2"/>
    </row>
    <row r="51" spans="1:67" x14ac:dyDescent="0.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13"/>
      <c r="Z51" s="2"/>
      <c r="AA51" s="2"/>
      <c r="AB51" s="2"/>
      <c r="AC51" s="2"/>
      <c r="AD51" s="2"/>
      <c r="AE51" s="2"/>
      <c r="AF51" s="2"/>
      <c r="BA51" s="2" t="str">
        <f>IF(OR(B51="",B51="-"),"",IF((COUNTA(BA52:BA$100)-COUNTBLANK(BA52:BA$100))=0,B51,IF((COUNTA(BA52:BA$100)-COUNTBLANK(BA52:BA$100))=1,CONCATENATE(B51," و "),CONCATENATE(B51,"، "))))</f>
        <v/>
      </c>
      <c r="BB51" s="2" t="str">
        <f>IF(OR(C51="",C51="-"),"",IF((COUNTA(BB52:BB$100)-COUNTBLANK(BB52:BB$100))=0,C51,IF((COUNTA(BB52:BB$100)-COUNTBLANK(BB52:BB$100))=1,CONCATENATE(C51," و "),CONCATENATE(C51,"، "))))</f>
        <v/>
      </c>
      <c r="BC51" s="2" t="str">
        <f>IF(OR(D51="",D51="-"),"",IF((COUNTA(BC52:BC$100)-COUNTBLANK(BC52:BC$100))=0,D51,IF((COUNTA(BC52:BC$100)-COUNTBLANK(BC52:BC$100))=1,CONCATENATE(D51," و "),CONCATENATE(D51,"، "))))</f>
        <v/>
      </c>
      <c r="BD51" s="2" t="str">
        <f>IF(OR(E51="",E51="-"),"",IF((COUNTA(BD52:BD$100)-COUNTBLANK(BD52:BD$100))=0,E51,IF((COUNTA(BD52:BD$100)-COUNTBLANK(BD52:BD$100))=1,CONCATENATE(E51," و "),CONCATENATE(E51,"، "))))</f>
        <v/>
      </c>
      <c r="BE51" s="2" t="str">
        <f>IF(OR(F51="",F51="-"),"",IF((COUNTA(BE52:BE$100)-COUNTBLANK(BE52:BE$100))=0,F51,IF((COUNTA(BE52:BE$100)-COUNTBLANK(BE52:BE$100))=1,CONCATENATE(F51," و "),CONCATENATE(F51,"، "))))</f>
        <v/>
      </c>
      <c r="BF51" s="2" t="str">
        <f>IF(OR(G51="",G51="-"),"",IF((COUNTA(BF52:BF$100)-COUNTBLANK(BF52:BF$100))=0,G51,IF((COUNTA(BF52:BF$100)-COUNTBLANK(BF52:BF$100))=1,CONCATENATE(G51," و "),CONCATENATE(G51,"، "))))</f>
        <v/>
      </c>
      <c r="BG51" s="2" t="str">
        <f>IF(OR(H51="",H51="-"),"",IF((COUNTA(BG52:BG$100)-COUNTBLANK(BG52:BG$100))=0,H51,IF((COUNTA(BG52:BG$100)-COUNTBLANK(BG52:BG$100))=1,CONCATENATE(H51," و "),CONCATENATE(H51,"، "))))</f>
        <v/>
      </c>
      <c r="BH51" s="2" t="str">
        <f>IF(OR(I51="",I51="-"),"",IF((COUNTA(BH52:BH$100)-COUNTBLANK(BH52:BH$100))=0,I51,IF((COUNTA(BH52:BH$100)-COUNTBLANK(BH52:BH$100))=1,CONCATENATE(I51," و "),CONCATENATE(I51,"، "))))</f>
        <v/>
      </c>
      <c r="BI51" s="2" t="str">
        <f>IF(OR(J51="",J51="-"),"",IF((COUNTA(BI52:BI$100)-COUNTBLANK(BI52:BI$100))=0,J51,IF((COUNTA(BI52:BI$100)-COUNTBLANK(BI52:BI$100))=1,CONCATENATE(J51," و "),CONCATENATE(J51,"، "))))</f>
        <v/>
      </c>
      <c r="BJ51" s="2" t="str">
        <f>IF(M51="","",IF((COUNTA(BJ52:$BJ$100)-COUNTBLANK(BJ52:$BJ$100)&gt;0),CONCATENATE(M51,CHAR(10)),M51))</f>
        <v/>
      </c>
      <c r="BK51" s="6"/>
      <c r="BL51" s="2"/>
      <c r="BM51" s="2"/>
      <c r="BN51" s="2"/>
      <c r="BO51" s="2"/>
    </row>
    <row r="52" spans="1:67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13"/>
      <c r="Z52" s="2"/>
      <c r="AA52" s="2"/>
      <c r="AB52" s="2"/>
      <c r="AC52" s="2"/>
      <c r="AD52" s="2"/>
      <c r="AE52" s="2"/>
      <c r="AF52" s="2"/>
      <c r="BA52" s="2" t="str">
        <f>IF(OR(B52="",B52="-"),"",IF((COUNTA(BA53:BA$100)-COUNTBLANK(BA53:BA$100))=0,B52,IF((COUNTA(BA53:BA$100)-COUNTBLANK(BA53:BA$100))=1,CONCATENATE(B52," و "),CONCATENATE(B52,"، "))))</f>
        <v/>
      </c>
      <c r="BB52" s="2" t="str">
        <f>IF(OR(C52="",C52="-"),"",IF((COUNTA(BB53:BB$100)-COUNTBLANK(BB53:BB$100))=0,C52,IF((COUNTA(BB53:BB$100)-COUNTBLANK(BB53:BB$100))=1,CONCATENATE(C52," و "),CONCATENATE(C52,"، "))))</f>
        <v/>
      </c>
      <c r="BC52" s="2" t="str">
        <f>IF(OR(D52="",D52="-"),"",IF((COUNTA(BC53:BC$100)-COUNTBLANK(BC53:BC$100))=0,D52,IF((COUNTA(BC53:BC$100)-COUNTBLANK(BC53:BC$100))=1,CONCATENATE(D52," و "),CONCATENATE(D52,"، "))))</f>
        <v/>
      </c>
      <c r="BD52" s="2" t="str">
        <f>IF(OR(E52="",E52="-"),"",IF((COUNTA(BD53:BD$100)-COUNTBLANK(BD53:BD$100))=0,E52,IF((COUNTA(BD53:BD$100)-COUNTBLANK(BD53:BD$100))=1,CONCATENATE(E52," و "),CONCATENATE(E52,"، "))))</f>
        <v/>
      </c>
      <c r="BE52" s="2" t="str">
        <f>IF(OR(F52="",F52="-"),"",IF((COUNTA(BE53:BE$100)-COUNTBLANK(BE53:BE$100))=0,F52,IF((COUNTA(BE53:BE$100)-COUNTBLANK(BE53:BE$100))=1,CONCATENATE(F52," و "),CONCATENATE(F52,"، "))))</f>
        <v/>
      </c>
      <c r="BF52" s="2" t="str">
        <f>IF(OR(G52="",G52="-"),"",IF((COUNTA(BF53:BF$100)-COUNTBLANK(BF53:BF$100))=0,G52,IF((COUNTA(BF53:BF$100)-COUNTBLANK(BF53:BF$100))=1,CONCATENATE(G52," و "),CONCATENATE(G52,"، "))))</f>
        <v/>
      </c>
      <c r="BG52" s="2" t="str">
        <f>IF(OR(H52="",H52="-"),"",IF((COUNTA(BG53:BG$100)-COUNTBLANK(BG53:BG$100))=0,H52,IF((COUNTA(BG53:BG$100)-COUNTBLANK(BG53:BG$100))=1,CONCATENATE(H52," و "),CONCATENATE(H52,"، "))))</f>
        <v/>
      </c>
      <c r="BH52" s="2" t="str">
        <f>IF(OR(I52="",I52="-"),"",IF((COUNTA(BH53:BH$100)-COUNTBLANK(BH53:BH$100))=0,I52,IF((COUNTA(BH53:BH$100)-COUNTBLANK(BH53:BH$100))=1,CONCATENATE(I52," و "),CONCATENATE(I52,"، "))))</f>
        <v/>
      </c>
      <c r="BI52" s="2" t="str">
        <f>IF(OR(J52="",J52="-"),"",IF((COUNTA(BI53:BI$100)-COUNTBLANK(BI53:BI$100))=0,J52,IF((COUNTA(BI53:BI$100)-COUNTBLANK(BI53:BI$100))=1,CONCATENATE(J52," و "),CONCATENATE(J52,"، "))))</f>
        <v/>
      </c>
      <c r="BJ52" s="2" t="str">
        <f>IF(M52="","",IF((COUNTA(BJ53:$BJ$100)-COUNTBLANK(BJ53:$BJ$100)&gt;0),CONCATENATE(M52,CHAR(10)),M52))</f>
        <v/>
      </c>
      <c r="BK52" s="6"/>
      <c r="BL52" s="2"/>
      <c r="BM52" s="2"/>
      <c r="BN52" s="2"/>
      <c r="BO52" s="2"/>
    </row>
    <row r="53" spans="1:67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13"/>
      <c r="Z53" s="2"/>
      <c r="AA53" s="2"/>
      <c r="AB53" s="2"/>
      <c r="AC53" s="2"/>
      <c r="AD53" s="2"/>
      <c r="AE53" s="2"/>
      <c r="AF53" s="2"/>
      <c r="BA53" s="2" t="str">
        <f>IF(OR(B53="",B53="-"),"",IF((COUNTA(BA54:BA$100)-COUNTBLANK(BA54:BA$100))=0,B53,IF((COUNTA(BA54:BA$100)-COUNTBLANK(BA54:BA$100))=1,CONCATENATE(B53," و "),CONCATENATE(B53,"، "))))</f>
        <v/>
      </c>
      <c r="BB53" s="2" t="str">
        <f>IF(OR(C53="",C53="-"),"",IF((COUNTA(BB54:BB$100)-COUNTBLANK(BB54:BB$100))=0,C53,IF((COUNTA(BB54:BB$100)-COUNTBLANK(BB54:BB$100))=1,CONCATENATE(C53," و "),CONCATENATE(C53,"، "))))</f>
        <v/>
      </c>
      <c r="BC53" s="2" t="str">
        <f>IF(OR(D53="",D53="-"),"",IF((COUNTA(BC54:BC$100)-COUNTBLANK(BC54:BC$100))=0,D53,IF((COUNTA(BC54:BC$100)-COUNTBLANK(BC54:BC$100))=1,CONCATENATE(D53," و "),CONCATENATE(D53,"، "))))</f>
        <v/>
      </c>
      <c r="BD53" s="2" t="str">
        <f>IF(OR(E53="",E53="-"),"",IF((COUNTA(BD54:BD$100)-COUNTBLANK(BD54:BD$100))=0,E53,IF((COUNTA(BD54:BD$100)-COUNTBLANK(BD54:BD$100))=1,CONCATENATE(E53," و "),CONCATENATE(E53,"، "))))</f>
        <v/>
      </c>
      <c r="BE53" s="2" t="str">
        <f>IF(OR(F53="",F53="-"),"",IF((COUNTA(BE54:BE$100)-COUNTBLANK(BE54:BE$100))=0,F53,IF((COUNTA(BE54:BE$100)-COUNTBLANK(BE54:BE$100))=1,CONCATENATE(F53," و "),CONCATENATE(F53,"، "))))</f>
        <v/>
      </c>
      <c r="BF53" s="2" t="str">
        <f>IF(OR(G53="",G53="-"),"",IF((COUNTA(BF54:BF$100)-COUNTBLANK(BF54:BF$100))=0,G53,IF((COUNTA(BF54:BF$100)-COUNTBLANK(BF54:BF$100))=1,CONCATENATE(G53," و "),CONCATENATE(G53,"، "))))</f>
        <v/>
      </c>
      <c r="BG53" s="2" t="str">
        <f>IF(OR(H53="",H53="-"),"",IF((COUNTA(BG54:BG$100)-COUNTBLANK(BG54:BG$100))=0,H53,IF((COUNTA(BG54:BG$100)-COUNTBLANK(BG54:BG$100))=1,CONCATENATE(H53," و "),CONCATENATE(H53,"، "))))</f>
        <v/>
      </c>
      <c r="BH53" s="2" t="str">
        <f>IF(OR(I53="",I53="-"),"",IF((COUNTA(BH54:BH$100)-COUNTBLANK(BH54:BH$100))=0,I53,IF((COUNTA(BH54:BH$100)-COUNTBLANK(BH54:BH$100))=1,CONCATENATE(I53," و "),CONCATENATE(I53,"، "))))</f>
        <v/>
      </c>
      <c r="BI53" s="2" t="str">
        <f>IF(OR(J53="",J53="-"),"",IF((COUNTA(BI54:BI$100)-COUNTBLANK(BI54:BI$100))=0,J53,IF((COUNTA(BI54:BI$100)-COUNTBLANK(BI54:BI$100))=1,CONCATENATE(J53," و "),CONCATENATE(J53,"، "))))</f>
        <v/>
      </c>
      <c r="BJ53" s="2" t="str">
        <f>IF(M53="","",IF((COUNTA(BJ54:$BJ$100)-COUNTBLANK(BJ54:$BJ$100)&gt;0),CONCATENATE(M53,CHAR(10)),M53))</f>
        <v/>
      </c>
      <c r="BK53" s="6"/>
      <c r="BL53" s="2"/>
      <c r="BM53" s="2"/>
      <c r="BN53" s="2"/>
      <c r="BO53" s="2"/>
    </row>
    <row r="54" spans="1:67" x14ac:dyDescent="0.3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13"/>
      <c r="Z54" s="2"/>
      <c r="AA54" s="2"/>
      <c r="AB54" s="2"/>
      <c r="AC54" s="2"/>
      <c r="AD54" s="2"/>
      <c r="AE54" s="2"/>
      <c r="AF54" s="2"/>
      <c r="BA54" s="2" t="str">
        <f>IF(OR(B54="",B54="-"),"",IF((COUNTA(BA55:BA$100)-COUNTBLANK(BA55:BA$100))=0,B54,IF((COUNTA(BA55:BA$100)-COUNTBLANK(BA55:BA$100))=1,CONCATENATE(B54," و "),CONCATENATE(B54,"، "))))</f>
        <v/>
      </c>
      <c r="BB54" s="2" t="str">
        <f>IF(OR(C54="",C54="-"),"",IF((COUNTA(BB55:BB$100)-COUNTBLANK(BB55:BB$100))=0,C54,IF((COUNTA(BB55:BB$100)-COUNTBLANK(BB55:BB$100))=1,CONCATENATE(C54," و "),CONCATENATE(C54,"، "))))</f>
        <v/>
      </c>
      <c r="BC54" s="2" t="str">
        <f>IF(OR(D54="",D54="-"),"",IF((COUNTA(BC55:BC$100)-COUNTBLANK(BC55:BC$100))=0,D54,IF((COUNTA(BC55:BC$100)-COUNTBLANK(BC55:BC$100))=1,CONCATENATE(D54," و "),CONCATENATE(D54,"، "))))</f>
        <v/>
      </c>
      <c r="BD54" s="2" t="str">
        <f>IF(OR(E54="",E54="-"),"",IF((COUNTA(BD55:BD$100)-COUNTBLANK(BD55:BD$100))=0,E54,IF((COUNTA(BD55:BD$100)-COUNTBLANK(BD55:BD$100))=1,CONCATENATE(E54," و "),CONCATENATE(E54,"، "))))</f>
        <v/>
      </c>
      <c r="BE54" s="2" t="str">
        <f>IF(OR(F54="",F54="-"),"",IF((COUNTA(BE55:BE$100)-COUNTBLANK(BE55:BE$100))=0,F54,IF((COUNTA(BE55:BE$100)-COUNTBLANK(BE55:BE$100))=1,CONCATENATE(F54," و "),CONCATENATE(F54,"، "))))</f>
        <v/>
      </c>
      <c r="BF54" s="2" t="str">
        <f>IF(OR(G54="",G54="-"),"",IF((COUNTA(BF55:BF$100)-COUNTBLANK(BF55:BF$100))=0,G54,IF((COUNTA(BF55:BF$100)-COUNTBLANK(BF55:BF$100))=1,CONCATENATE(G54," و "),CONCATENATE(G54,"، "))))</f>
        <v/>
      </c>
      <c r="BG54" s="2" t="str">
        <f>IF(OR(H54="",H54="-"),"",IF((COUNTA(BG55:BG$100)-COUNTBLANK(BG55:BG$100))=0,H54,IF((COUNTA(BG55:BG$100)-COUNTBLANK(BG55:BG$100))=1,CONCATENATE(H54," و "),CONCATENATE(H54,"، "))))</f>
        <v/>
      </c>
      <c r="BH54" s="2" t="str">
        <f>IF(OR(I54="",I54="-"),"",IF((COUNTA(BH55:BH$100)-COUNTBLANK(BH55:BH$100))=0,I54,IF((COUNTA(BH55:BH$100)-COUNTBLANK(BH55:BH$100))=1,CONCATENATE(I54," و "),CONCATENATE(I54,"، "))))</f>
        <v/>
      </c>
      <c r="BI54" s="2" t="str">
        <f>IF(OR(J54="",J54="-"),"",IF((COUNTA(BI55:BI$100)-COUNTBLANK(BI55:BI$100))=0,J54,IF((COUNTA(BI55:BI$100)-COUNTBLANK(BI55:BI$100))=1,CONCATENATE(J54," و "),CONCATENATE(J54,"، "))))</f>
        <v/>
      </c>
      <c r="BJ54" s="2" t="str">
        <f>IF(M54="","",IF((COUNTA(BJ55:$BJ$100)-COUNTBLANK(BJ55:$BJ$100)&gt;0),CONCATENATE(M54,CHAR(10)),M54))</f>
        <v/>
      </c>
      <c r="BK54" s="6"/>
      <c r="BL54" s="2"/>
      <c r="BM54" s="2"/>
      <c r="BN54" s="2"/>
      <c r="BO54" s="2"/>
    </row>
    <row r="55" spans="1:67" x14ac:dyDescent="0.3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13"/>
      <c r="Z55" s="2"/>
      <c r="AA55" s="2"/>
      <c r="AB55" s="2"/>
      <c r="AC55" s="2"/>
      <c r="AD55" s="2"/>
      <c r="AE55" s="2"/>
      <c r="AF55" s="2"/>
      <c r="BA55" s="2" t="str">
        <f>IF(OR(B55="",B55="-"),"",IF((COUNTA(BA56:BA$100)-COUNTBLANK(BA56:BA$100))=0,B55,IF((COUNTA(BA56:BA$100)-COUNTBLANK(BA56:BA$100))=1,CONCATENATE(B55," و "),CONCATENATE(B55,"، "))))</f>
        <v/>
      </c>
      <c r="BB55" s="2" t="str">
        <f>IF(OR(C55="",C55="-"),"",IF((COUNTA(BB56:BB$100)-COUNTBLANK(BB56:BB$100))=0,C55,IF((COUNTA(BB56:BB$100)-COUNTBLANK(BB56:BB$100))=1,CONCATENATE(C55," و "),CONCATENATE(C55,"، "))))</f>
        <v/>
      </c>
      <c r="BC55" s="2" t="str">
        <f>IF(OR(D55="",D55="-"),"",IF((COUNTA(BC56:BC$100)-COUNTBLANK(BC56:BC$100))=0,D55,IF((COUNTA(BC56:BC$100)-COUNTBLANK(BC56:BC$100))=1,CONCATENATE(D55," و "),CONCATENATE(D55,"، "))))</f>
        <v/>
      </c>
      <c r="BD55" s="2" t="str">
        <f>IF(OR(E55="",E55="-"),"",IF((COUNTA(BD56:BD$100)-COUNTBLANK(BD56:BD$100))=0,E55,IF((COUNTA(BD56:BD$100)-COUNTBLANK(BD56:BD$100))=1,CONCATENATE(E55," و "),CONCATENATE(E55,"، "))))</f>
        <v/>
      </c>
      <c r="BE55" s="2" t="str">
        <f>IF(OR(F55="",F55="-"),"",IF((COUNTA(BE56:BE$100)-COUNTBLANK(BE56:BE$100))=0,F55,IF((COUNTA(BE56:BE$100)-COUNTBLANK(BE56:BE$100))=1,CONCATENATE(F55," و "),CONCATENATE(F55,"، "))))</f>
        <v/>
      </c>
      <c r="BF55" s="2" t="str">
        <f>IF(OR(G55="",G55="-"),"",IF((COUNTA(BF56:BF$100)-COUNTBLANK(BF56:BF$100))=0,G55,IF((COUNTA(BF56:BF$100)-COUNTBLANK(BF56:BF$100))=1,CONCATENATE(G55," و "),CONCATENATE(G55,"، "))))</f>
        <v/>
      </c>
      <c r="BG55" s="2" t="str">
        <f>IF(OR(H55="",H55="-"),"",IF((COUNTA(BG56:BG$100)-COUNTBLANK(BG56:BG$100))=0,H55,IF((COUNTA(BG56:BG$100)-COUNTBLANK(BG56:BG$100))=1,CONCATENATE(H55," و "),CONCATENATE(H55,"، "))))</f>
        <v/>
      </c>
      <c r="BH55" s="2" t="str">
        <f>IF(OR(I55="",I55="-"),"",IF((COUNTA(BH56:BH$100)-COUNTBLANK(BH56:BH$100))=0,I55,IF((COUNTA(BH56:BH$100)-COUNTBLANK(BH56:BH$100))=1,CONCATENATE(I55," و "),CONCATENATE(I55,"، "))))</f>
        <v/>
      </c>
      <c r="BI55" s="2" t="str">
        <f>IF(OR(J55="",J55="-"),"",IF((COUNTA(BI56:BI$100)-COUNTBLANK(BI56:BI$100))=0,J55,IF((COUNTA(BI56:BI$100)-COUNTBLANK(BI56:BI$100))=1,CONCATENATE(J55," و "),CONCATENATE(J55,"، "))))</f>
        <v/>
      </c>
      <c r="BJ55" s="2" t="str">
        <f>IF(M55="","",IF((COUNTA(BJ56:$BJ$100)-COUNTBLANK(BJ56:$BJ$100)&gt;0),CONCATENATE(M55,CHAR(10)),M55))</f>
        <v/>
      </c>
      <c r="BK55" s="6"/>
      <c r="BL55" s="2"/>
      <c r="BM55" s="2"/>
      <c r="BN55" s="2"/>
      <c r="BO55" s="2"/>
    </row>
    <row r="56" spans="1:67" x14ac:dyDescent="0.3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13"/>
      <c r="Z56" s="2"/>
      <c r="AA56" s="2"/>
      <c r="AB56" s="2"/>
      <c r="AC56" s="2"/>
      <c r="AD56" s="2"/>
      <c r="AE56" s="2"/>
      <c r="AF56" s="2"/>
      <c r="BA56" s="2" t="str">
        <f>IF(OR(B56="",B56="-"),"",IF((COUNTA(BA57:BA$100)-COUNTBLANK(BA57:BA$100))=0,B56,IF((COUNTA(BA57:BA$100)-COUNTBLANK(BA57:BA$100))=1,CONCATENATE(B56," و "),CONCATENATE(B56,"، "))))</f>
        <v/>
      </c>
      <c r="BB56" s="2" t="str">
        <f>IF(OR(C56="",C56="-"),"",IF((COUNTA(BB57:BB$100)-COUNTBLANK(BB57:BB$100))=0,C56,IF((COUNTA(BB57:BB$100)-COUNTBLANK(BB57:BB$100))=1,CONCATENATE(C56," و "),CONCATENATE(C56,"، "))))</f>
        <v/>
      </c>
      <c r="BC56" s="2" t="str">
        <f>IF(OR(D56="",D56="-"),"",IF((COUNTA(BC57:BC$100)-COUNTBLANK(BC57:BC$100))=0,D56,IF((COUNTA(BC57:BC$100)-COUNTBLANK(BC57:BC$100))=1,CONCATENATE(D56," و "),CONCATENATE(D56,"، "))))</f>
        <v/>
      </c>
      <c r="BD56" s="2" t="str">
        <f>IF(OR(E56="",E56="-"),"",IF((COUNTA(BD57:BD$100)-COUNTBLANK(BD57:BD$100))=0,E56,IF((COUNTA(BD57:BD$100)-COUNTBLANK(BD57:BD$100))=1,CONCATENATE(E56," و "),CONCATENATE(E56,"، "))))</f>
        <v/>
      </c>
      <c r="BE56" s="2" t="str">
        <f>IF(OR(F56="",F56="-"),"",IF((COUNTA(BE57:BE$100)-COUNTBLANK(BE57:BE$100))=0,F56,IF((COUNTA(BE57:BE$100)-COUNTBLANK(BE57:BE$100))=1,CONCATENATE(F56," و "),CONCATENATE(F56,"، "))))</f>
        <v/>
      </c>
      <c r="BF56" s="2" t="str">
        <f>IF(OR(G56="",G56="-"),"",IF((COUNTA(BF57:BF$100)-COUNTBLANK(BF57:BF$100))=0,G56,IF((COUNTA(BF57:BF$100)-COUNTBLANK(BF57:BF$100))=1,CONCATENATE(G56," و "),CONCATENATE(G56,"، "))))</f>
        <v/>
      </c>
      <c r="BG56" s="2" t="str">
        <f>IF(OR(H56="",H56="-"),"",IF((COUNTA(BG57:BG$100)-COUNTBLANK(BG57:BG$100))=0,H56,IF((COUNTA(BG57:BG$100)-COUNTBLANK(BG57:BG$100))=1,CONCATENATE(H56," و "),CONCATENATE(H56,"، "))))</f>
        <v/>
      </c>
      <c r="BH56" s="2" t="str">
        <f>IF(OR(I56="",I56="-"),"",IF((COUNTA(BH57:BH$100)-COUNTBLANK(BH57:BH$100))=0,I56,IF((COUNTA(BH57:BH$100)-COUNTBLANK(BH57:BH$100))=1,CONCATENATE(I56," و "),CONCATENATE(I56,"، "))))</f>
        <v/>
      </c>
      <c r="BI56" s="2" t="str">
        <f>IF(OR(J56="",J56="-"),"",IF((COUNTA(BI57:BI$100)-COUNTBLANK(BI57:BI$100))=0,J56,IF((COUNTA(BI57:BI$100)-COUNTBLANK(BI57:BI$100))=1,CONCATENATE(J56," و "),CONCATENATE(J56,"، "))))</f>
        <v/>
      </c>
      <c r="BJ56" s="2" t="str">
        <f>IF(M56="","",IF((COUNTA(BJ57:$BJ$100)-COUNTBLANK(BJ57:$BJ$100)&gt;0),CONCATENATE(M56,CHAR(10)),M56))</f>
        <v/>
      </c>
      <c r="BK56" s="6"/>
      <c r="BL56" s="2"/>
      <c r="BM56" s="2"/>
      <c r="BN56" s="2"/>
      <c r="BO56" s="2"/>
    </row>
    <row r="57" spans="1:67" x14ac:dyDescent="0.3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13"/>
      <c r="Z57" s="2"/>
      <c r="AA57" s="2"/>
      <c r="AB57" s="2"/>
      <c r="AC57" s="2"/>
      <c r="AD57" s="2"/>
      <c r="AE57" s="2"/>
      <c r="AF57" s="2"/>
      <c r="BA57" s="2" t="str">
        <f>IF(OR(B57="",B57="-"),"",IF((COUNTA(BA58:BA$100)-COUNTBLANK(BA58:BA$100))=0,B57,IF((COUNTA(BA58:BA$100)-COUNTBLANK(BA58:BA$100))=1,CONCATENATE(B57," و "),CONCATENATE(B57,"، "))))</f>
        <v/>
      </c>
      <c r="BB57" s="2" t="str">
        <f>IF(OR(C57="",C57="-"),"",IF((COUNTA(BB58:BB$100)-COUNTBLANK(BB58:BB$100))=0,C57,IF((COUNTA(BB58:BB$100)-COUNTBLANK(BB58:BB$100))=1,CONCATENATE(C57," و "),CONCATENATE(C57,"، "))))</f>
        <v/>
      </c>
      <c r="BC57" s="2" t="str">
        <f>IF(OR(D57="",D57="-"),"",IF((COUNTA(BC58:BC$100)-COUNTBLANK(BC58:BC$100))=0,D57,IF((COUNTA(BC58:BC$100)-COUNTBLANK(BC58:BC$100))=1,CONCATENATE(D57," و "),CONCATENATE(D57,"، "))))</f>
        <v/>
      </c>
      <c r="BD57" s="2" t="str">
        <f>IF(OR(E57="",E57="-"),"",IF((COUNTA(BD58:BD$100)-COUNTBLANK(BD58:BD$100))=0,E57,IF((COUNTA(BD58:BD$100)-COUNTBLANK(BD58:BD$100))=1,CONCATENATE(E57," و "),CONCATENATE(E57,"، "))))</f>
        <v/>
      </c>
      <c r="BE57" s="2" t="str">
        <f>IF(OR(F57="",F57="-"),"",IF((COUNTA(BE58:BE$100)-COUNTBLANK(BE58:BE$100))=0,F57,IF((COUNTA(BE58:BE$100)-COUNTBLANK(BE58:BE$100))=1,CONCATENATE(F57," و "),CONCATENATE(F57,"، "))))</f>
        <v/>
      </c>
      <c r="BF57" s="2" t="str">
        <f>IF(OR(G57="",G57="-"),"",IF((COUNTA(BF58:BF$100)-COUNTBLANK(BF58:BF$100))=0,G57,IF((COUNTA(BF58:BF$100)-COUNTBLANK(BF58:BF$100))=1,CONCATENATE(G57," و "),CONCATENATE(G57,"، "))))</f>
        <v/>
      </c>
      <c r="BG57" s="2" t="str">
        <f>IF(OR(H57="",H57="-"),"",IF((COUNTA(BG58:BG$100)-COUNTBLANK(BG58:BG$100))=0,H57,IF((COUNTA(BG58:BG$100)-COUNTBLANK(BG58:BG$100))=1,CONCATENATE(H57," و "),CONCATENATE(H57,"، "))))</f>
        <v/>
      </c>
      <c r="BH57" s="2" t="str">
        <f>IF(OR(I57="",I57="-"),"",IF((COUNTA(BH58:BH$100)-COUNTBLANK(BH58:BH$100))=0,I57,IF((COUNTA(BH58:BH$100)-COUNTBLANK(BH58:BH$100))=1,CONCATENATE(I57," و "),CONCATENATE(I57,"، "))))</f>
        <v/>
      </c>
      <c r="BI57" s="2" t="str">
        <f>IF(OR(J57="",J57="-"),"",IF((COUNTA(BI58:BI$100)-COUNTBLANK(BI58:BI$100))=0,J57,IF((COUNTA(BI58:BI$100)-COUNTBLANK(BI58:BI$100))=1,CONCATENATE(J57," و "),CONCATENATE(J57,"، "))))</f>
        <v/>
      </c>
      <c r="BJ57" s="2" t="str">
        <f>IF(M57="","",IF((COUNTA(BJ58:$BJ$100)-COUNTBLANK(BJ58:$BJ$100)&gt;0),CONCATENATE(M57,CHAR(10)),M57))</f>
        <v/>
      </c>
      <c r="BK57" s="6"/>
      <c r="BL57" s="2"/>
      <c r="BM57" s="2"/>
      <c r="BN57" s="2"/>
      <c r="BO57" s="2"/>
    </row>
    <row r="58" spans="1:67" x14ac:dyDescent="0.3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13"/>
      <c r="Z58" s="2"/>
      <c r="AA58" s="2"/>
      <c r="AB58" s="2"/>
      <c r="AC58" s="2"/>
      <c r="AD58" s="2"/>
      <c r="AE58" s="2"/>
      <c r="AF58" s="2"/>
      <c r="BA58" s="2" t="str">
        <f>IF(OR(B58="",B58="-"),"",IF((COUNTA(BA59:BA$100)-COUNTBLANK(BA59:BA$100))=0,B58,IF((COUNTA(BA59:BA$100)-COUNTBLANK(BA59:BA$100))=1,CONCATENATE(B58," و "),CONCATENATE(B58,"، "))))</f>
        <v/>
      </c>
      <c r="BB58" s="2" t="str">
        <f>IF(OR(C58="",C58="-"),"",IF((COUNTA(BB59:BB$100)-COUNTBLANK(BB59:BB$100))=0,C58,IF((COUNTA(BB59:BB$100)-COUNTBLANK(BB59:BB$100))=1,CONCATENATE(C58," و "),CONCATENATE(C58,"، "))))</f>
        <v/>
      </c>
      <c r="BC58" s="2" t="str">
        <f>IF(OR(D58="",D58="-"),"",IF((COUNTA(BC59:BC$100)-COUNTBLANK(BC59:BC$100))=0,D58,IF((COUNTA(BC59:BC$100)-COUNTBLANK(BC59:BC$100))=1,CONCATENATE(D58," و "),CONCATENATE(D58,"، "))))</f>
        <v/>
      </c>
      <c r="BD58" s="2" t="str">
        <f>IF(OR(E58="",E58="-"),"",IF((COUNTA(BD59:BD$100)-COUNTBLANK(BD59:BD$100))=0,E58,IF((COUNTA(BD59:BD$100)-COUNTBLANK(BD59:BD$100))=1,CONCATENATE(E58," و "),CONCATENATE(E58,"، "))))</f>
        <v/>
      </c>
      <c r="BE58" s="2" t="str">
        <f>IF(OR(F58="",F58="-"),"",IF((COUNTA(BE59:BE$100)-COUNTBLANK(BE59:BE$100))=0,F58,IF((COUNTA(BE59:BE$100)-COUNTBLANK(BE59:BE$100))=1,CONCATENATE(F58," و "),CONCATENATE(F58,"، "))))</f>
        <v/>
      </c>
      <c r="BF58" s="2" t="str">
        <f>IF(OR(G58="",G58="-"),"",IF((COUNTA(BF59:BF$100)-COUNTBLANK(BF59:BF$100))=0,G58,IF((COUNTA(BF59:BF$100)-COUNTBLANK(BF59:BF$100))=1,CONCATENATE(G58," و "),CONCATENATE(G58,"، "))))</f>
        <v/>
      </c>
      <c r="BG58" s="2" t="str">
        <f>IF(OR(H58="",H58="-"),"",IF((COUNTA(BG59:BG$100)-COUNTBLANK(BG59:BG$100))=0,H58,IF((COUNTA(BG59:BG$100)-COUNTBLANK(BG59:BG$100))=1,CONCATENATE(H58," و "),CONCATENATE(H58,"، "))))</f>
        <v/>
      </c>
      <c r="BH58" s="2" t="str">
        <f>IF(OR(I58="",I58="-"),"",IF((COUNTA(BH59:BH$100)-COUNTBLANK(BH59:BH$100))=0,I58,IF((COUNTA(BH59:BH$100)-COUNTBLANK(BH59:BH$100))=1,CONCATENATE(I58," و "),CONCATENATE(I58,"، "))))</f>
        <v/>
      </c>
      <c r="BI58" s="2" t="str">
        <f>IF(OR(J58="",J58="-"),"",IF((COUNTA(BI59:BI$100)-COUNTBLANK(BI59:BI$100))=0,J58,IF((COUNTA(BI59:BI$100)-COUNTBLANK(BI59:BI$100))=1,CONCATENATE(J58," و "),CONCATENATE(J58,"، "))))</f>
        <v/>
      </c>
      <c r="BJ58" s="2" t="str">
        <f>IF(M58="","",IF((COUNTA(BJ59:$BJ$100)-COUNTBLANK(BJ59:$BJ$100)&gt;0),CONCATENATE(M58,CHAR(10)),M58))</f>
        <v/>
      </c>
      <c r="BK58" s="6"/>
      <c r="BL58" s="2"/>
      <c r="BM58" s="2"/>
      <c r="BN58" s="2"/>
      <c r="BO58" s="2"/>
    </row>
    <row r="59" spans="1:67" x14ac:dyDescent="0.3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13"/>
      <c r="Z59" s="2"/>
      <c r="AA59" s="2"/>
      <c r="AB59" s="2"/>
      <c r="AC59" s="2"/>
      <c r="AD59" s="2"/>
      <c r="AE59" s="2"/>
      <c r="AF59" s="2"/>
      <c r="BA59" s="2" t="str">
        <f>IF(OR(B59="",B59="-"),"",IF((COUNTA(BA60:BA$100)-COUNTBLANK(BA60:BA$100))=0,B59,IF((COUNTA(BA60:BA$100)-COUNTBLANK(BA60:BA$100))=1,CONCATENATE(B59," و "),CONCATENATE(B59,"، "))))</f>
        <v/>
      </c>
      <c r="BB59" s="2" t="str">
        <f>IF(OR(C59="",C59="-"),"",IF((COUNTA(BB60:BB$100)-COUNTBLANK(BB60:BB$100))=0,C59,IF((COUNTA(BB60:BB$100)-COUNTBLANK(BB60:BB$100))=1,CONCATENATE(C59," و "),CONCATENATE(C59,"، "))))</f>
        <v/>
      </c>
      <c r="BC59" s="2" t="str">
        <f>IF(OR(D59="",D59="-"),"",IF((COUNTA(BC60:BC$100)-COUNTBLANK(BC60:BC$100))=0,D59,IF((COUNTA(BC60:BC$100)-COUNTBLANK(BC60:BC$100))=1,CONCATENATE(D59," و "),CONCATENATE(D59,"، "))))</f>
        <v/>
      </c>
      <c r="BD59" s="2" t="str">
        <f>IF(OR(E59="",E59="-"),"",IF((COUNTA(BD60:BD$100)-COUNTBLANK(BD60:BD$100))=0,E59,IF((COUNTA(BD60:BD$100)-COUNTBLANK(BD60:BD$100))=1,CONCATENATE(E59," و "),CONCATENATE(E59,"، "))))</f>
        <v/>
      </c>
      <c r="BE59" s="2" t="str">
        <f>IF(OR(F59="",F59="-"),"",IF((COUNTA(BE60:BE$100)-COUNTBLANK(BE60:BE$100))=0,F59,IF((COUNTA(BE60:BE$100)-COUNTBLANK(BE60:BE$100))=1,CONCATENATE(F59," و "),CONCATENATE(F59,"، "))))</f>
        <v/>
      </c>
      <c r="BF59" s="2" t="str">
        <f>IF(OR(G59="",G59="-"),"",IF((COUNTA(BF60:BF$100)-COUNTBLANK(BF60:BF$100))=0,G59,IF((COUNTA(BF60:BF$100)-COUNTBLANK(BF60:BF$100))=1,CONCATENATE(G59," و "),CONCATENATE(G59,"، "))))</f>
        <v/>
      </c>
      <c r="BG59" s="2" t="str">
        <f>IF(OR(H59="",H59="-"),"",IF((COUNTA(BG60:BG$100)-COUNTBLANK(BG60:BG$100))=0,H59,IF((COUNTA(BG60:BG$100)-COUNTBLANK(BG60:BG$100))=1,CONCATENATE(H59," و "),CONCATENATE(H59,"، "))))</f>
        <v/>
      </c>
      <c r="BH59" s="2" t="str">
        <f>IF(OR(I59="",I59="-"),"",IF((COUNTA(BH60:BH$100)-COUNTBLANK(BH60:BH$100))=0,I59,IF((COUNTA(BH60:BH$100)-COUNTBLANK(BH60:BH$100))=1,CONCATENATE(I59," و "),CONCATENATE(I59,"، "))))</f>
        <v/>
      </c>
      <c r="BI59" s="2" t="str">
        <f>IF(OR(J59="",J59="-"),"",IF((COUNTA(BI60:BI$100)-COUNTBLANK(BI60:BI$100))=0,J59,IF((COUNTA(BI60:BI$100)-COUNTBLANK(BI60:BI$100))=1,CONCATENATE(J59," و "),CONCATENATE(J59,"، "))))</f>
        <v/>
      </c>
      <c r="BJ59" s="2" t="str">
        <f>IF(M59="","",IF((COUNTA(BJ60:$BJ$100)-COUNTBLANK(BJ60:$BJ$100)&gt;0),CONCATENATE(M59,CHAR(10)),M59))</f>
        <v/>
      </c>
      <c r="BK59" s="6"/>
      <c r="BL59" s="2"/>
      <c r="BM59" s="2"/>
      <c r="BN59" s="2"/>
      <c r="BO59" s="2"/>
    </row>
    <row r="60" spans="1:67" x14ac:dyDescent="0.3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13"/>
      <c r="Z60" s="2"/>
      <c r="AA60" s="2"/>
      <c r="AB60" s="2"/>
      <c r="AC60" s="2"/>
      <c r="AD60" s="2"/>
      <c r="AE60" s="2"/>
      <c r="AF60" s="2"/>
      <c r="BA60" s="2" t="str">
        <f>IF(OR(B60="",B60="-"),"",IF((COUNTA(BA61:BA$100)-COUNTBLANK(BA61:BA$100))=0,B60,IF((COUNTA(BA61:BA$100)-COUNTBLANK(BA61:BA$100))=1,CONCATENATE(B60," و "),CONCATENATE(B60,"، "))))</f>
        <v/>
      </c>
      <c r="BB60" s="2" t="str">
        <f>IF(OR(C60="",C60="-"),"",IF((COUNTA(BB61:BB$100)-COUNTBLANK(BB61:BB$100))=0,C60,IF((COUNTA(BB61:BB$100)-COUNTBLANK(BB61:BB$100))=1,CONCATENATE(C60," و "),CONCATENATE(C60,"، "))))</f>
        <v/>
      </c>
      <c r="BC60" s="2" t="str">
        <f>IF(OR(D60="",D60="-"),"",IF((COUNTA(BC61:BC$100)-COUNTBLANK(BC61:BC$100))=0,D60,IF((COUNTA(BC61:BC$100)-COUNTBLANK(BC61:BC$100))=1,CONCATENATE(D60," و "),CONCATENATE(D60,"، "))))</f>
        <v/>
      </c>
      <c r="BD60" s="2" t="str">
        <f>IF(OR(E60="",E60="-"),"",IF((COUNTA(BD61:BD$100)-COUNTBLANK(BD61:BD$100))=0,E60,IF((COUNTA(BD61:BD$100)-COUNTBLANK(BD61:BD$100))=1,CONCATENATE(E60," و "),CONCATENATE(E60,"، "))))</f>
        <v/>
      </c>
      <c r="BE60" s="2" t="str">
        <f>IF(OR(F60="",F60="-"),"",IF((COUNTA(BE61:BE$100)-COUNTBLANK(BE61:BE$100))=0,F60,IF((COUNTA(BE61:BE$100)-COUNTBLANK(BE61:BE$100))=1,CONCATENATE(F60," و "),CONCATENATE(F60,"، "))))</f>
        <v/>
      </c>
      <c r="BF60" s="2" t="str">
        <f>IF(OR(G60="",G60="-"),"",IF((COUNTA(BF61:BF$100)-COUNTBLANK(BF61:BF$100))=0,G60,IF((COUNTA(BF61:BF$100)-COUNTBLANK(BF61:BF$100))=1,CONCATENATE(G60," و "),CONCATENATE(G60,"، "))))</f>
        <v/>
      </c>
      <c r="BG60" s="2" t="str">
        <f>IF(OR(H60="",H60="-"),"",IF((COUNTA(BG61:BG$100)-COUNTBLANK(BG61:BG$100))=0,H60,IF((COUNTA(BG61:BG$100)-COUNTBLANK(BG61:BG$100))=1,CONCATENATE(H60," و "),CONCATENATE(H60,"، "))))</f>
        <v/>
      </c>
      <c r="BH60" s="2" t="str">
        <f>IF(OR(I60="",I60="-"),"",IF((COUNTA(BH61:BH$100)-COUNTBLANK(BH61:BH$100))=0,I60,IF((COUNTA(BH61:BH$100)-COUNTBLANK(BH61:BH$100))=1,CONCATENATE(I60," و "),CONCATENATE(I60,"، "))))</f>
        <v/>
      </c>
      <c r="BI60" s="2" t="str">
        <f>IF(OR(J60="",J60="-"),"",IF((COUNTA(BI61:BI$100)-COUNTBLANK(BI61:BI$100))=0,J60,IF((COUNTA(BI61:BI$100)-COUNTBLANK(BI61:BI$100))=1,CONCATENATE(J60," و "),CONCATENATE(J60,"، "))))</f>
        <v/>
      </c>
      <c r="BJ60" s="2" t="str">
        <f>IF(M60="","",IF((COUNTA(BJ61:$BJ$100)-COUNTBLANK(BJ61:$BJ$100)&gt;0),CONCATENATE(M60,CHAR(10)),M60))</f>
        <v/>
      </c>
      <c r="BK60" s="6"/>
      <c r="BL60" s="2"/>
      <c r="BM60" s="2"/>
      <c r="BN60" s="2"/>
      <c r="BO60" s="2"/>
    </row>
    <row r="61" spans="1:67" x14ac:dyDescent="0.3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13"/>
      <c r="Z61" s="2"/>
      <c r="AA61" s="2"/>
      <c r="AB61" s="2"/>
      <c r="AC61" s="2"/>
      <c r="AD61" s="2"/>
      <c r="AE61" s="2"/>
      <c r="AF61" s="2"/>
      <c r="BA61" s="2" t="str">
        <f>IF(OR(B61="",B61="-"),"",IF((COUNTA(BA62:BA$100)-COUNTBLANK(BA62:BA$100))=0,B61,IF((COUNTA(BA62:BA$100)-COUNTBLANK(BA62:BA$100))=1,CONCATENATE(B61," و "),CONCATENATE(B61,"، "))))</f>
        <v/>
      </c>
      <c r="BB61" s="2" t="str">
        <f>IF(OR(C61="",C61="-"),"",IF((COUNTA(BB62:BB$100)-COUNTBLANK(BB62:BB$100))=0,C61,IF((COUNTA(BB62:BB$100)-COUNTBLANK(BB62:BB$100))=1,CONCATENATE(C61," و "),CONCATENATE(C61,"، "))))</f>
        <v/>
      </c>
      <c r="BC61" s="2" t="str">
        <f>IF(OR(D61="",D61="-"),"",IF((COUNTA(BC62:BC$100)-COUNTBLANK(BC62:BC$100))=0,D61,IF((COUNTA(BC62:BC$100)-COUNTBLANK(BC62:BC$100))=1,CONCATENATE(D61," و "),CONCATENATE(D61,"، "))))</f>
        <v/>
      </c>
      <c r="BD61" s="2" t="str">
        <f>IF(OR(E61="",E61="-"),"",IF((COUNTA(BD62:BD$100)-COUNTBLANK(BD62:BD$100))=0,E61,IF((COUNTA(BD62:BD$100)-COUNTBLANK(BD62:BD$100))=1,CONCATENATE(E61," و "),CONCATENATE(E61,"، "))))</f>
        <v/>
      </c>
      <c r="BE61" s="2" t="str">
        <f>IF(OR(F61="",F61="-"),"",IF((COUNTA(BE62:BE$100)-COUNTBLANK(BE62:BE$100))=0,F61,IF((COUNTA(BE62:BE$100)-COUNTBLANK(BE62:BE$100))=1,CONCATENATE(F61," و "),CONCATENATE(F61,"، "))))</f>
        <v/>
      </c>
      <c r="BF61" s="2" t="str">
        <f>IF(OR(G61="",G61="-"),"",IF((COUNTA(BF62:BF$100)-COUNTBLANK(BF62:BF$100))=0,G61,IF((COUNTA(BF62:BF$100)-COUNTBLANK(BF62:BF$100))=1,CONCATENATE(G61," و "),CONCATENATE(G61,"، "))))</f>
        <v/>
      </c>
      <c r="BG61" s="2" t="str">
        <f>IF(OR(H61="",H61="-"),"",IF((COUNTA(BG62:BG$100)-COUNTBLANK(BG62:BG$100))=0,H61,IF((COUNTA(BG62:BG$100)-COUNTBLANK(BG62:BG$100))=1,CONCATENATE(H61," و "),CONCATENATE(H61,"، "))))</f>
        <v/>
      </c>
      <c r="BH61" s="2" t="str">
        <f>IF(OR(I61="",I61="-"),"",IF((COUNTA(BH62:BH$100)-COUNTBLANK(BH62:BH$100))=0,I61,IF((COUNTA(BH62:BH$100)-COUNTBLANK(BH62:BH$100))=1,CONCATENATE(I61," و "),CONCATENATE(I61,"، "))))</f>
        <v/>
      </c>
      <c r="BI61" s="2" t="str">
        <f>IF(OR(J61="",J61="-"),"",IF((COUNTA(BI62:BI$100)-COUNTBLANK(BI62:BI$100))=0,J61,IF((COUNTA(BI62:BI$100)-COUNTBLANK(BI62:BI$100))=1,CONCATENATE(J61," و "),CONCATENATE(J61,"، "))))</f>
        <v/>
      </c>
      <c r="BJ61" s="2" t="str">
        <f>IF(M61="","",IF((COUNTA(BJ62:$BJ$100)-COUNTBLANK(BJ62:$BJ$100)&gt;0),CONCATENATE(M61,CHAR(10)),M61))</f>
        <v/>
      </c>
      <c r="BK61" s="6"/>
      <c r="BL61" s="2"/>
      <c r="BM61" s="2"/>
      <c r="BN61" s="2"/>
      <c r="BO61" s="2"/>
    </row>
    <row r="62" spans="1:67" x14ac:dyDescent="0.3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13"/>
      <c r="Z62" s="2"/>
      <c r="AA62" s="2"/>
      <c r="AB62" s="2"/>
      <c r="AC62" s="2"/>
      <c r="AD62" s="2"/>
      <c r="AE62" s="2"/>
      <c r="AF62" s="2"/>
      <c r="BA62" s="2" t="str">
        <f>IF(OR(B62="",B62="-"),"",IF((COUNTA(BA63:BA$100)-COUNTBLANK(BA63:BA$100))=0,B62,IF((COUNTA(BA63:BA$100)-COUNTBLANK(BA63:BA$100))=1,CONCATENATE(B62," و "),CONCATENATE(B62,"، "))))</f>
        <v/>
      </c>
      <c r="BB62" s="2" t="str">
        <f>IF(OR(C62="",C62="-"),"",IF((COUNTA(BB63:BB$100)-COUNTBLANK(BB63:BB$100))=0,C62,IF((COUNTA(BB63:BB$100)-COUNTBLANK(BB63:BB$100))=1,CONCATENATE(C62," و "),CONCATENATE(C62,"، "))))</f>
        <v/>
      </c>
      <c r="BC62" s="2" t="str">
        <f>IF(OR(D62="",D62="-"),"",IF((COUNTA(BC63:BC$100)-COUNTBLANK(BC63:BC$100))=0,D62,IF((COUNTA(BC63:BC$100)-COUNTBLANK(BC63:BC$100))=1,CONCATENATE(D62," و "),CONCATENATE(D62,"، "))))</f>
        <v/>
      </c>
      <c r="BD62" s="2" t="str">
        <f>IF(OR(E62="",E62="-"),"",IF((COUNTA(BD63:BD$100)-COUNTBLANK(BD63:BD$100))=0,E62,IF((COUNTA(BD63:BD$100)-COUNTBLANK(BD63:BD$100))=1,CONCATENATE(E62," و "),CONCATENATE(E62,"، "))))</f>
        <v/>
      </c>
      <c r="BE62" s="2" t="str">
        <f>IF(OR(F62="",F62="-"),"",IF((COUNTA(BE63:BE$100)-COUNTBLANK(BE63:BE$100))=0,F62,IF((COUNTA(BE63:BE$100)-COUNTBLANK(BE63:BE$100))=1,CONCATENATE(F62," و "),CONCATENATE(F62,"، "))))</f>
        <v/>
      </c>
      <c r="BF62" s="2" t="str">
        <f>IF(OR(G62="",G62="-"),"",IF((COUNTA(BF63:BF$100)-COUNTBLANK(BF63:BF$100))=0,G62,IF((COUNTA(BF63:BF$100)-COUNTBLANK(BF63:BF$100))=1,CONCATENATE(G62," و "),CONCATENATE(G62,"، "))))</f>
        <v/>
      </c>
      <c r="BG62" s="2" t="str">
        <f>IF(OR(H62="",H62="-"),"",IF((COUNTA(BG63:BG$100)-COUNTBLANK(BG63:BG$100))=0,H62,IF((COUNTA(BG63:BG$100)-COUNTBLANK(BG63:BG$100))=1,CONCATENATE(H62," و "),CONCATENATE(H62,"، "))))</f>
        <v/>
      </c>
      <c r="BH62" s="2" t="str">
        <f>IF(OR(I62="",I62="-"),"",IF((COUNTA(BH63:BH$100)-COUNTBLANK(BH63:BH$100))=0,I62,IF((COUNTA(BH63:BH$100)-COUNTBLANK(BH63:BH$100))=1,CONCATENATE(I62," و "),CONCATENATE(I62,"، "))))</f>
        <v/>
      </c>
      <c r="BI62" s="2" t="str">
        <f>IF(OR(J62="",J62="-"),"",IF((COUNTA(BI63:BI$100)-COUNTBLANK(BI63:BI$100))=0,J62,IF((COUNTA(BI63:BI$100)-COUNTBLANK(BI63:BI$100))=1,CONCATENATE(J62," و "),CONCATENATE(J62,"، "))))</f>
        <v/>
      </c>
      <c r="BJ62" s="2" t="str">
        <f>IF(M62="","",IF((COUNTA(BJ63:$BJ$100)-COUNTBLANK(BJ63:$BJ$100)&gt;0),CONCATENATE(M62,CHAR(10)),M62))</f>
        <v/>
      </c>
      <c r="BK62" s="6"/>
      <c r="BL62" s="2"/>
      <c r="BM62" s="2"/>
      <c r="BN62" s="2"/>
      <c r="BO62" s="2"/>
    </row>
    <row r="63" spans="1:67" x14ac:dyDescent="0.3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13"/>
      <c r="Z63" s="2"/>
      <c r="AA63" s="2"/>
      <c r="AB63" s="2"/>
      <c r="AC63" s="2"/>
      <c r="AD63" s="2"/>
      <c r="AE63" s="2"/>
      <c r="AF63" s="2"/>
      <c r="BA63" s="2" t="str">
        <f>IF(OR(B63="",B63="-"),"",IF((COUNTA(BA64:BA$100)-COUNTBLANK(BA64:BA$100))=0,B63,IF((COUNTA(BA64:BA$100)-COUNTBLANK(BA64:BA$100))=1,CONCATENATE(B63," و "),CONCATENATE(B63,"، "))))</f>
        <v/>
      </c>
      <c r="BB63" s="2" t="str">
        <f>IF(OR(C63="",C63="-"),"",IF((COUNTA(BB64:BB$100)-COUNTBLANK(BB64:BB$100))=0,C63,IF((COUNTA(BB64:BB$100)-COUNTBLANK(BB64:BB$100))=1,CONCATENATE(C63," و "),CONCATENATE(C63,"، "))))</f>
        <v/>
      </c>
      <c r="BC63" s="2" t="str">
        <f>IF(OR(D63="",D63="-"),"",IF((COUNTA(BC64:BC$100)-COUNTBLANK(BC64:BC$100))=0,D63,IF((COUNTA(BC64:BC$100)-COUNTBLANK(BC64:BC$100))=1,CONCATENATE(D63," و "),CONCATENATE(D63,"، "))))</f>
        <v/>
      </c>
      <c r="BD63" s="2" t="str">
        <f>IF(OR(E63="",E63="-"),"",IF((COUNTA(BD64:BD$100)-COUNTBLANK(BD64:BD$100))=0,E63,IF((COUNTA(BD64:BD$100)-COUNTBLANK(BD64:BD$100))=1,CONCATENATE(E63," و "),CONCATENATE(E63,"، "))))</f>
        <v/>
      </c>
      <c r="BE63" s="2" t="str">
        <f>IF(OR(F63="",F63="-"),"",IF((COUNTA(BE64:BE$100)-COUNTBLANK(BE64:BE$100))=0,F63,IF((COUNTA(BE64:BE$100)-COUNTBLANK(BE64:BE$100))=1,CONCATENATE(F63," و "),CONCATENATE(F63,"، "))))</f>
        <v/>
      </c>
      <c r="BF63" s="2" t="str">
        <f>IF(OR(G63="",G63="-"),"",IF((COUNTA(BF64:BF$100)-COUNTBLANK(BF64:BF$100))=0,G63,IF((COUNTA(BF64:BF$100)-COUNTBLANK(BF64:BF$100))=1,CONCATENATE(G63," و "),CONCATENATE(G63,"، "))))</f>
        <v/>
      </c>
      <c r="BG63" s="2" t="str">
        <f>IF(OR(H63="",H63="-"),"",IF((COUNTA(BG64:BG$100)-COUNTBLANK(BG64:BG$100))=0,H63,IF((COUNTA(BG64:BG$100)-COUNTBLANK(BG64:BG$100))=1,CONCATENATE(H63," و "),CONCATENATE(H63,"، "))))</f>
        <v/>
      </c>
      <c r="BH63" s="2" t="str">
        <f>IF(OR(I63="",I63="-"),"",IF((COUNTA(BH64:BH$100)-COUNTBLANK(BH64:BH$100))=0,I63,IF((COUNTA(BH64:BH$100)-COUNTBLANK(BH64:BH$100))=1,CONCATENATE(I63," و "),CONCATENATE(I63,"، "))))</f>
        <v/>
      </c>
      <c r="BI63" s="2" t="str">
        <f>IF(OR(J63="",J63="-"),"",IF((COUNTA(BI64:BI$100)-COUNTBLANK(BI64:BI$100))=0,J63,IF((COUNTA(BI64:BI$100)-COUNTBLANK(BI64:BI$100))=1,CONCATENATE(J63," و "),CONCATENATE(J63,"، "))))</f>
        <v/>
      </c>
      <c r="BJ63" s="2" t="str">
        <f>IF(M63="","",IF((COUNTA(BJ64:$BJ$100)-COUNTBLANK(BJ64:$BJ$100)&gt;0),CONCATENATE(M63,CHAR(10)),M63))</f>
        <v/>
      </c>
      <c r="BK63" s="6"/>
      <c r="BL63" s="2"/>
      <c r="BM63" s="2"/>
      <c r="BN63" s="2"/>
      <c r="BO63" s="2"/>
    </row>
    <row r="64" spans="1:67" x14ac:dyDescent="0.3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13"/>
      <c r="Z64" s="2"/>
      <c r="AA64" s="2"/>
      <c r="AB64" s="2"/>
      <c r="AC64" s="2"/>
      <c r="AD64" s="2"/>
      <c r="AE64" s="2"/>
      <c r="AF64" s="2"/>
      <c r="BA64" s="2" t="str">
        <f>IF(OR(B64="",B64="-"),"",IF((COUNTA(BA65:BA$100)-COUNTBLANK(BA65:BA$100))=0,B64,IF((COUNTA(BA65:BA$100)-COUNTBLANK(BA65:BA$100))=1,CONCATENATE(B64," و "),CONCATENATE(B64,"، "))))</f>
        <v/>
      </c>
      <c r="BB64" s="2" t="str">
        <f>IF(OR(C64="",C64="-"),"",IF((COUNTA(BB65:BB$100)-COUNTBLANK(BB65:BB$100))=0,C64,IF((COUNTA(BB65:BB$100)-COUNTBLANK(BB65:BB$100))=1,CONCATENATE(C64," و "),CONCATENATE(C64,"، "))))</f>
        <v/>
      </c>
      <c r="BC64" s="2" t="str">
        <f>IF(OR(D64="",D64="-"),"",IF((COUNTA(BC65:BC$100)-COUNTBLANK(BC65:BC$100))=0,D64,IF((COUNTA(BC65:BC$100)-COUNTBLANK(BC65:BC$100))=1,CONCATENATE(D64," و "),CONCATENATE(D64,"، "))))</f>
        <v/>
      </c>
      <c r="BD64" s="2" t="str">
        <f>IF(OR(E64="",E64="-"),"",IF((COUNTA(BD65:BD$100)-COUNTBLANK(BD65:BD$100))=0,E64,IF((COUNTA(BD65:BD$100)-COUNTBLANK(BD65:BD$100))=1,CONCATENATE(E64," و "),CONCATENATE(E64,"، "))))</f>
        <v/>
      </c>
      <c r="BE64" s="2" t="str">
        <f>IF(OR(F64="",F64="-"),"",IF((COUNTA(BE65:BE$100)-COUNTBLANK(BE65:BE$100))=0,F64,IF((COUNTA(BE65:BE$100)-COUNTBLANK(BE65:BE$100))=1,CONCATENATE(F64," و "),CONCATENATE(F64,"، "))))</f>
        <v/>
      </c>
      <c r="BF64" s="2" t="str">
        <f>IF(OR(G64="",G64="-"),"",IF((COUNTA(BF65:BF$100)-COUNTBLANK(BF65:BF$100))=0,G64,IF((COUNTA(BF65:BF$100)-COUNTBLANK(BF65:BF$100))=1,CONCATENATE(G64," و "),CONCATENATE(G64,"، "))))</f>
        <v/>
      </c>
      <c r="BG64" s="2" t="str">
        <f>IF(OR(H64="",H64="-"),"",IF((COUNTA(BG65:BG$100)-COUNTBLANK(BG65:BG$100))=0,H64,IF((COUNTA(BG65:BG$100)-COUNTBLANK(BG65:BG$100))=1,CONCATENATE(H64," و "),CONCATENATE(H64,"، "))))</f>
        <v/>
      </c>
      <c r="BH64" s="2" t="str">
        <f>IF(OR(I64="",I64="-"),"",IF((COUNTA(BH65:BH$100)-COUNTBLANK(BH65:BH$100))=0,I64,IF((COUNTA(BH65:BH$100)-COUNTBLANK(BH65:BH$100))=1,CONCATENATE(I64," و "),CONCATENATE(I64,"، "))))</f>
        <v/>
      </c>
      <c r="BI64" s="2" t="str">
        <f>IF(OR(J64="",J64="-"),"",IF((COUNTA(BI65:BI$100)-COUNTBLANK(BI65:BI$100))=0,J64,IF((COUNTA(BI65:BI$100)-COUNTBLANK(BI65:BI$100))=1,CONCATENATE(J64," و "),CONCATENATE(J64,"، "))))</f>
        <v/>
      </c>
      <c r="BJ64" s="2" t="str">
        <f>IF(M64="","",IF((COUNTA(BJ65:$BJ$100)-COUNTBLANK(BJ65:$BJ$100)&gt;0),CONCATENATE(M64,CHAR(10)),M64))</f>
        <v/>
      </c>
      <c r="BK64" s="6"/>
      <c r="BL64" s="2"/>
      <c r="BM64" s="2"/>
      <c r="BN64" s="2"/>
      <c r="BO64" s="2"/>
    </row>
    <row r="65" spans="1:67" x14ac:dyDescent="0.3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13"/>
      <c r="Z65" s="2"/>
      <c r="AA65" s="2"/>
      <c r="AB65" s="2"/>
      <c r="AC65" s="2"/>
      <c r="AD65" s="2"/>
      <c r="AE65" s="2"/>
      <c r="AF65" s="2"/>
      <c r="BA65" s="2" t="str">
        <f>IF(OR(B65="",B65="-"),"",IF((COUNTA(BA66:BA$100)-COUNTBLANK(BA66:BA$100))=0,B65,IF((COUNTA(BA66:BA$100)-COUNTBLANK(BA66:BA$100))=1,CONCATENATE(B65," و "),CONCATENATE(B65,"، "))))</f>
        <v/>
      </c>
      <c r="BB65" s="2" t="str">
        <f>IF(OR(C65="",C65="-"),"",IF((COUNTA(BB66:BB$100)-COUNTBLANK(BB66:BB$100))=0,C65,IF((COUNTA(BB66:BB$100)-COUNTBLANK(BB66:BB$100))=1,CONCATENATE(C65," و "),CONCATENATE(C65,"، "))))</f>
        <v/>
      </c>
      <c r="BC65" s="2" t="str">
        <f>IF(OR(D65="",D65="-"),"",IF((COUNTA(BC66:BC$100)-COUNTBLANK(BC66:BC$100))=0,D65,IF((COUNTA(BC66:BC$100)-COUNTBLANK(BC66:BC$100))=1,CONCATENATE(D65," و "),CONCATENATE(D65,"، "))))</f>
        <v/>
      </c>
      <c r="BD65" s="2" t="str">
        <f>IF(OR(E65="",E65="-"),"",IF((COUNTA(BD66:BD$100)-COUNTBLANK(BD66:BD$100))=0,E65,IF((COUNTA(BD66:BD$100)-COUNTBLANK(BD66:BD$100))=1,CONCATENATE(E65," و "),CONCATENATE(E65,"، "))))</f>
        <v/>
      </c>
      <c r="BE65" s="2" t="str">
        <f>IF(OR(F65="",F65="-"),"",IF((COUNTA(BE66:BE$100)-COUNTBLANK(BE66:BE$100))=0,F65,IF((COUNTA(BE66:BE$100)-COUNTBLANK(BE66:BE$100))=1,CONCATENATE(F65," و "),CONCATENATE(F65,"، "))))</f>
        <v/>
      </c>
      <c r="BF65" s="2" t="str">
        <f>IF(OR(G65="",G65="-"),"",IF((COUNTA(BF66:BF$100)-COUNTBLANK(BF66:BF$100))=0,G65,IF((COUNTA(BF66:BF$100)-COUNTBLANK(BF66:BF$100))=1,CONCATENATE(G65," و "),CONCATENATE(G65,"، "))))</f>
        <v/>
      </c>
      <c r="BG65" s="2" t="str">
        <f>IF(OR(H65="",H65="-"),"",IF((COUNTA(BG66:BG$100)-COUNTBLANK(BG66:BG$100))=0,H65,IF((COUNTA(BG66:BG$100)-COUNTBLANK(BG66:BG$100))=1,CONCATENATE(H65," و "),CONCATENATE(H65,"، "))))</f>
        <v/>
      </c>
      <c r="BH65" s="2" t="str">
        <f>IF(OR(I65="",I65="-"),"",IF((COUNTA(BH66:BH$100)-COUNTBLANK(BH66:BH$100))=0,I65,IF((COUNTA(BH66:BH$100)-COUNTBLANK(BH66:BH$100))=1,CONCATENATE(I65," و "),CONCATENATE(I65,"، "))))</f>
        <v/>
      </c>
      <c r="BI65" s="2" t="str">
        <f>IF(OR(J65="",J65="-"),"",IF((COUNTA(BI66:BI$100)-COUNTBLANK(BI66:BI$100))=0,J65,IF((COUNTA(BI66:BI$100)-COUNTBLANK(BI66:BI$100))=1,CONCATENATE(J65," و "),CONCATENATE(J65,"، "))))</f>
        <v/>
      </c>
      <c r="BJ65" s="2" t="str">
        <f>IF(M65="","",IF((COUNTA(BJ66:$BJ$100)-COUNTBLANK(BJ66:$BJ$100)&gt;0),CONCATENATE(M65,CHAR(10)),M65))</f>
        <v/>
      </c>
      <c r="BK65" s="6"/>
      <c r="BL65" s="2"/>
      <c r="BM65" s="2"/>
      <c r="BN65" s="2"/>
      <c r="BO65" s="2"/>
    </row>
    <row r="66" spans="1:67" x14ac:dyDescent="0.3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13"/>
      <c r="Z66" s="2"/>
      <c r="AA66" s="2"/>
      <c r="AB66" s="2"/>
      <c r="AC66" s="2"/>
      <c r="AD66" s="2"/>
      <c r="AE66" s="2"/>
      <c r="AF66" s="2"/>
      <c r="BA66" s="2" t="str">
        <f>IF(OR(B66="",B66="-"),"",IF((COUNTA(BA67:BA$100)-COUNTBLANK(BA67:BA$100))=0,B66,IF((COUNTA(BA67:BA$100)-COUNTBLANK(BA67:BA$100))=1,CONCATENATE(B66," و "),CONCATENATE(B66,"، "))))</f>
        <v/>
      </c>
      <c r="BB66" s="2" t="str">
        <f>IF(OR(C66="",C66="-"),"",IF((COUNTA(BB67:BB$100)-COUNTBLANK(BB67:BB$100))=0,C66,IF((COUNTA(BB67:BB$100)-COUNTBLANK(BB67:BB$100))=1,CONCATENATE(C66," و "),CONCATENATE(C66,"، "))))</f>
        <v/>
      </c>
      <c r="BC66" s="2" t="str">
        <f>IF(OR(D66="",D66="-"),"",IF((COUNTA(BC67:BC$100)-COUNTBLANK(BC67:BC$100))=0,D66,IF((COUNTA(BC67:BC$100)-COUNTBLANK(BC67:BC$100))=1,CONCATENATE(D66," و "),CONCATENATE(D66,"، "))))</f>
        <v/>
      </c>
      <c r="BD66" s="2" t="str">
        <f>IF(OR(E66="",E66="-"),"",IF((COUNTA(BD67:BD$100)-COUNTBLANK(BD67:BD$100))=0,E66,IF((COUNTA(BD67:BD$100)-COUNTBLANK(BD67:BD$100))=1,CONCATENATE(E66," و "),CONCATENATE(E66,"، "))))</f>
        <v/>
      </c>
      <c r="BE66" s="2" t="str">
        <f>IF(OR(F66="",F66="-"),"",IF((COUNTA(BE67:BE$100)-COUNTBLANK(BE67:BE$100))=0,F66,IF((COUNTA(BE67:BE$100)-COUNTBLANK(BE67:BE$100))=1,CONCATENATE(F66," و "),CONCATENATE(F66,"، "))))</f>
        <v/>
      </c>
      <c r="BF66" s="2" t="str">
        <f>IF(OR(G66="",G66="-"),"",IF((COUNTA(BF67:BF$100)-COUNTBLANK(BF67:BF$100))=0,G66,IF((COUNTA(BF67:BF$100)-COUNTBLANK(BF67:BF$100))=1,CONCATENATE(G66," و "),CONCATENATE(G66,"، "))))</f>
        <v/>
      </c>
      <c r="BG66" s="2" t="str">
        <f>IF(OR(H66="",H66="-"),"",IF((COUNTA(BG67:BG$100)-COUNTBLANK(BG67:BG$100))=0,H66,IF((COUNTA(BG67:BG$100)-COUNTBLANK(BG67:BG$100))=1,CONCATENATE(H66," و "),CONCATENATE(H66,"، "))))</f>
        <v/>
      </c>
      <c r="BH66" s="2" t="str">
        <f>IF(OR(I66="",I66="-"),"",IF((COUNTA(BH67:BH$100)-COUNTBLANK(BH67:BH$100))=0,I66,IF((COUNTA(BH67:BH$100)-COUNTBLANK(BH67:BH$100))=1,CONCATENATE(I66," و "),CONCATENATE(I66,"، "))))</f>
        <v/>
      </c>
      <c r="BI66" s="2" t="str">
        <f>IF(OR(J66="",J66="-"),"",IF((COUNTA(BI67:BI$100)-COUNTBLANK(BI67:BI$100))=0,J66,IF((COUNTA(BI67:BI$100)-COUNTBLANK(BI67:BI$100))=1,CONCATENATE(J66," و "),CONCATENATE(J66,"، "))))</f>
        <v/>
      </c>
      <c r="BJ66" s="2" t="str">
        <f>IF(M66="","",IF((COUNTA(BJ67:$BJ$100)-COUNTBLANK(BJ67:$BJ$100)&gt;0),CONCATENATE(M66,CHAR(10)),M66))</f>
        <v/>
      </c>
      <c r="BK66" s="6"/>
      <c r="BL66" s="2"/>
      <c r="BM66" s="2"/>
      <c r="BN66" s="2"/>
      <c r="BO66" s="2"/>
    </row>
    <row r="67" spans="1:67" x14ac:dyDescent="0.3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13"/>
      <c r="Z67" s="2"/>
      <c r="AA67" s="2"/>
      <c r="AB67" s="2"/>
      <c r="AC67" s="2"/>
      <c r="AD67" s="2"/>
      <c r="AE67" s="2"/>
      <c r="AF67" s="2"/>
      <c r="BA67" s="2" t="str">
        <f>IF(OR(B67="",B67="-"),"",IF((COUNTA(BA68:BA$100)-COUNTBLANK(BA68:BA$100))=0,B67,IF((COUNTA(BA68:BA$100)-COUNTBLANK(BA68:BA$100))=1,CONCATENATE(B67," و "),CONCATENATE(B67,"، "))))</f>
        <v/>
      </c>
      <c r="BB67" s="2" t="str">
        <f>IF(OR(C67="",C67="-"),"",IF((COUNTA(BB68:BB$100)-COUNTBLANK(BB68:BB$100))=0,C67,IF((COUNTA(BB68:BB$100)-COUNTBLANK(BB68:BB$100))=1,CONCATENATE(C67," و "),CONCATENATE(C67,"، "))))</f>
        <v/>
      </c>
      <c r="BC67" s="2" t="str">
        <f>IF(OR(D67="",D67="-"),"",IF((COUNTA(BC68:BC$100)-COUNTBLANK(BC68:BC$100))=0,D67,IF((COUNTA(BC68:BC$100)-COUNTBLANK(BC68:BC$100))=1,CONCATENATE(D67," و "),CONCATENATE(D67,"، "))))</f>
        <v/>
      </c>
      <c r="BD67" s="2" t="str">
        <f>IF(OR(E67="",E67="-"),"",IF((COUNTA(BD68:BD$100)-COUNTBLANK(BD68:BD$100))=0,E67,IF((COUNTA(BD68:BD$100)-COUNTBLANK(BD68:BD$100))=1,CONCATENATE(E67," و "),CONCATENATE(E67,"، "))))</f>
        <v/>
      </c>
      <c r="BE67" s="2" t="str">
        <f>IF(OR(F67="",F67="-"),"",IF((COUNTA(BE68:BE$100)-COUNTBLANK(BE68:BE$100))=0,F67,IF((COUNTA(BE68:BE$100)-COUNTBLANK(BE68:BE$100))=1,CONCATENATE(F67," و "),CONCATENATE(F67,"، "))))</f>
        <v/>
      </c>
      <c r="BF67" s="2" t="str">
        <f>IF(OR(G67="",G67="-"),"",IF((COUNTA(BF68:BF$100)-COUNTBLANK(BF68:BF$100))=0,G67,IF((COUNTA(BF68:BF$100)-COUNTBLANK(BF68:BF$100))=1,CONCATENATE(G67," و "),CONCATENATE(G67,"، "))))</f>
        <v/>
      </c>
      <c r="BG67" s="2" t="str">
        <f>IF(OR(H67="",H67="-"),"",IF((COUNTA(BG68:BG$100)-COUNTBLANK(BG68:BG$100))=0,H67,IF((COUNTA(BG68:BG$100)-COUNTBLANK(BG68:BG$100))=1,CONCATENATE(H67," و "),CONCATENATE(H67,"، "))))</f>
        <v/>
      </c>
      <c r="BH67" s="2" t="str">
        <f>IF(OR(I67="",I67="-"),"",IF((COUNTA(BH68:BH$100)-COUNTBLANK(BH68:BH$100))=0,I67,IF((COUNTA(BH68:BH$100)-COUNTBLANK(BH68:BH$100))=1,CONCATENATE(I67," و "),CONCATENATE(I67,"، "))))</f>
        <v/>
      </c>
      <c r="BI67" s="2" t="str">
        <f>IF(OR(J67="",J67="-"),"",IF((COUNTA(BI68:BI$100)-COUNTBLANK(BI68:BI$100))=0,J67,IF((COUNTA(BI68:BI$100)-COUNTBLANK(BI68:BI$100))=1,CONCATENATE(J67," و "),CONCATENATE(J67,"، "))))</f>
        <v/>
      </c>
      <c r="BJ67" s="2" t="str">
        <f>IF(M67="","",IF((COUNTA(BJ68:$BJ$100)-COUNTBLANK(BJ68:$BJ$100)&gt;0),CONCATENATE(M67,CHAR(10)),M67))</f>
        <v/>
      </c>
      <c r="BK67" s="6"/>
      <c r="BL67" s="2"/>
      <c r="BM67" s="2"/>
      <c r="BN67" s="2"/>
      <c r="BO67" s="2"/>
    </row>
    <row r="68" spans="1:67" x14ac:dyDescent="0.3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13"/>
      <c r="Z68" s="2"/>
      <c r="AA68" s="2"/>
      <c r="AB68" s="2"/>
      <c r="AC68" s="2"/>
      <c r="AD68" s="2"/>
      <c r="AE68" s="2"/>
      <c r="AF68" s="2"/>
      <c r="BA68" s="2" t="str">
        <f>IF(OR(B68="",B68="-"),"",IF((COUNTA(BA69:BA$100)-COUNTBLANK(BA69:BA$100))=0,B68,IF((COUNTA(BA69:BA$100)-COUNTBLANK(BA69:BA$100))=1,CONCATENATE(B68," و "),CONCATENATE(B68,"، "))))</f>
        <v/>
      </c>
      <c r="BB68" s="2" t="str">
        <f>IF(OR(C68="",C68="-"),"",IF((COUNTA(BB69:BB$100)-COUNTBLANK(BB69:BB$100))=0,C68,IF((COUNTA(BB69:BB$100)-COUNTBLANK(BB69:BB$100))=1,CONCATENATE(C68," و "),CONCATENATE(C68,"، "))))</f>
        <v/>
      </c>
      <c r="BC68" s="2" t="str">
        <f>IF(OR(D68="",D68="-"),"",IF((COUNTA(BC69:BC$100)-COUNTBLANK(BC69:BC$100))=0,D68,IF((COUNTA(BC69:BC$100)-COUNTBLANK(BC69:BC$100))=1,CONCATENATE(D68," و "),CONCATENATE(D68,"، "))))</f>
        <v/>
      </c>
      <c r="BD68" s="2" t="str">
        <f>IF(OR(E68="",E68="-"),"",IF((COUNTA(BD69:BD$100)-COUNTBLANK(BD69:BD$100))=0,E68,IF((COUNTA(BD69:BD$100)-COUNTBLANK(BD69:BD$100))=1,CONCATENATE(E68," و "),CONCATENATE(E68,"، "))))</f>
        <v/>
      </c>
      <c r="BE68" s="2" t="str">
        <f>IF(OR(F68="",F68="-"),"",IF((COUNTA(BE69:BE$100)-COUNTBLANK(BE69:BE$100))=0,F68,IF((COUNTA(BE69:BE$100)-COUNTBLANK(BE69:BE$100))=1,CONCATENATE(F68," و "),CONCATENATE(F68,"، "))))</f>
        <v/>
      </c>
      <c r="BF68" s="2" t="str">
        <f>IF(OR(G68="",G68="-"),"",IF((COUNTA(BF69:BF$100)-COUNTBLANK(BF69:BF$100))=0,G68,IF((COUNTA(BF69:BF$100)-COUNTBLANK(BF69:BF$100))=1,CONCATENATE(G68," و "),CONCATENATE(G68,"، "))))</f>
        <v/>
      </c>
      <c r="BG68" s="2" t="str">
        <f>IF(OR(H68="",H68="-"),"",IF((COUNTA(BG69:BG$100)-COUNTBLANK(BG69:BG$100))=0,H68,IF((COUNTA(BG69:BG$100)-COUNTBLANK(BG69:BG$100))=1,CONCATENATE(H68," و "),CONCATENATE(H68,"، "))))</f>
        <v/>
      </c>
      <c r="BH68" s="2" t="str">
        <f>IF(OR(I68="",I68="-"),"",IF((COUNTA(BH69:BH$100)-COUNTBLANK(BH69:BH$100))=0,I68,IF((COUNTA(BH69:BH$100)-COUNTBLANK(BH69:BH$100))=1,CONCATENATE(I68," و "),CONCATENATE(I68,"، "))))</f>
        <v/>
      </c>
      <c r="BI68" s="2" t="str">
        <f>IF(OR(J68="",J68="-"),"",IF((COUNTA(BI69:BI$100)-COUNTBLANK(BI69:BI$100))=0,J68,IF((COUNTA(BI69:BI$100)-COUNTBLANK(BI69:BI$100))=1,CONCATENATE(J68," و "),CONCATENATE(J68,"، "))))</f>
        <v/>
      </c>
      <c r="BJ68" s="2" t="str">
        <f>IF(M68="","",IF((COUNTA(BJ69:$BJ$100)-COUNTBLANK(BJ69:$BJ$100)&gt;0),CONCATENATE(M68,CHAR(10)),M68))</f>
        <v/>
      </c>
      <c r="BK68" s="6"/>
      <c r="BL68" s="2"/>
      <c r="BM68" s="2"/>
      <c r="BN68" s="2"/>
      <c r="BO68" s="2"/>
    </row>
    <row r="69" spans="1:67" x14ac:dyDescent="0.3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13"/>
      <c r="Z69" s="2"/>
      <c r="AA69" s="2"/>
      <c r="AB69" s="2"/>
      <c r="AC69" s="2"/>
      <c r="AD69" s="2"/>
      <c r="AE69" s="2"/>
      <c r="AF69" s="2"/>
      <c r="BA69" s="2" t="str">
        <f>IF(OR(B69="",B69="-"),"",IF((COUNTA(BA70:BA$100)-COUNTBLANK(BA70:BA$100))=0,B69,IF((COUNTA(BA70:BA$100)-COUNTBLANK(BA70:BA$100))=1,CONCATENATE(B69," و "),CONCATENATE(B69,"، "))))</f>
        <v/>
      </c>
      <c r="BB69" s="2" t="str">
        <f>IF(OR(C69="",C69="-"),"",IF((COUNTA(BB70:BB$100)-COUNTBLANK(BB70:BB$100))=0,C69,IF((COUNTA(BB70:BB$100)-COUNTBLANK(BB70:BB$100))=1,CONCATENATE(C69," و "),CONCATENATE(C69,"، "))))</f>
        <v/>
      </c>
      <c r="BC69" s="2" t="str">
        <f>IF(OR(D69="",D69="-"),"",IF((COUNTA(BC70:BC$100)-COUNTBLANK(BC70:BC$100))=0,D69,IF((COUNTA(BC70:BC$100)-COUNTBLANK(BC70:BC$100))=1,CONCATENATE(D69," و "),CONCATENATE(D69,"، "))))</f>
        <v/>
      </c>
      <c r="BD69" s="2" t="str">
        <f>IF(OR(E69="",E69="-"),"",IF((COUNTA(BD70:BD$100)-COUNTBLANK(BD70:BD$100))=0,E69,IF((COUNTA(BD70:BD$100)-COUNTBLANK(BD70:BD$100))=1,CONCATENATE(E69," و "),CONCATENATE(E69,"، "))))</f>
        <v/>
      </c>
      <c r="BE69" s="2" t="str">
        <f>IF(OR(F69="",F69="-"),"",IF((COUNTA(BE70:BE$100)-COUNTBLANK(BE70:BE$100))=0,F69,IF((COUNTA(BE70:BE$100)-COUNTBLANK(BE70:BE$100))=1,CONCATENATE(F69," و "),CONCATENATE(F69,"، "))))</f>
        <v/>
      </c>
      <c r="BF69" s="2" t="str">
        <f>IF(OR(G69="",G69="-"),"",IF((COUNTA(BF70:BF$100)-COUNTBLANK(BF70:BF$100))=0,G69,IF((COUNTA(BF70:BF$100)-COUNTBLANK(BF70:BF$100))=1,CONCATENATE(G69," و "),CONCATENATE(G69,"، "))))</f>
        <v/>
      </c>
      <c r="BG69" s="2" t="str">
        <f>IF(OR(H69="",H69="-"),"",IF((COUNTA(BG70:BG$100)-COUNTBLANK(BG70:BG$100))=0,H69,IF((COUNTA(BG70:BG$100)-COUNTBLANK(BG70:BG$100))=1,CONCATENATE(H69," و "),CONCATENATE(H69,"، "))))</f>
        <v/>
      </c>
      <c r="BH69" s="2" t="str">
        <f>IF(OR(I69="",I69="-"),"",IF((COUNTA(BH70:BH$100)-COUNTBLANK(BH70:BH$100))=0,I69,IF((COUNTA(BH70:BH$100)-COUNTBLANK(BH70:BH$100))=1,CONCATENATE(I69," و "),CONCATENATE(I69,"، "))))</f>
        <v/>
      </c>
      <c r="BI69" s="2" t="str">
        <f>IF(OR(J69="",J69="-"),"",IF((COUNTA(BI70:BI$100)-COUNTBLANK(BI70:BI$100))=0,J69,IF((COUNTA(BI70:BI$100)-COUNTBLANK(BI70:BI$100))=1,CONCATENATE(J69," و "),CONCATENATE(J69,"، "))))</f>
        <v/>
      </c>
      <c r="BJ69" s="2" t="str">
        <f>IF(M69="","",IF((COUNTA(BJ70:$BJ$100)-COUNTBLANK(BJ70:$BJ$100)&gt;0),CONCATENATE(M69,CHAR(10)),M69))</f>
        <v/>
      </c>
      <c r="BK69" s="6"/>
      <c r="BL69" s="2"/>
      <c r="BM69" s="2"/>
      <c r="BN69" s="2"/>
      <c r="BO69" s="2"/>
    </row>
    <row r="70" spans="1:67" x14ac:dyDescent="0.3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13"/>
      <c r="Z70" s="2"/>
      <c r="AA70" s="2"/>
      <c r="AB70" s="2"/>
      <c r="AC70" s="2"/>
      <c r="AD70" s="2"/>
      <c r="AE70" s="2"/>
      <c r="AF70" s="2"/>
      <c r="BA70" s="2" t="str">
        <f>IF(OR(B70="",B70="-"),"",IF((COUNTA(BA71:BA$100)-COUNTBLANK(BA71:BA$100))=0,B70,IF((COUNTA(BA71:BA$100)-COUNTBLANK(BA71:BA$100))=1,CONCATENATE(B70," و "),CONCATENATE(B70,"، "))))</f>
        <v/>
      </c>
      <c r="BB70" s="2" t="str">
        <f>IF(OR(C70="",C70="-"),"",IF((COUNTA(BB71:BB$100)-COUNTBLANK(BB71:BB$100))=0,C70,IF((COUNTA(BB71:BB$100)-COUNTBLANK(BB71:BB$100))=1,CONCATENATE(C70," و "),CONCATENATE(C70,"، "))))</f>
        <v/>
      </c>
      <c r="BC70" s="2" t="str">
        <f>IF(OR(D70="",D70="-"),"",IF((COUNTA(BC71:BC$100)-COUNTBLANK(BC71:BC$100))=0,D70,IF((COUNTA(BC71:BC$100)-COUNTBLANK(BC71:BC$100))=1,CONCATENATE(D70," و "),CONCATENATE(D70,"، "))))</f>
        <v/>
      </c>
      <c r="BD70" s="2" t="str">
        <f>IF(OR(E70="",E70="-"),"",IF((COUNTA(BD71:BD$100)-COUNTBLANK(BD71:BD$100))=0,E70,IF((COUNTA(BD71:BD$100)-COUNTBLANK(BD71:BD$100))=1,CONCATENATE(E70," و "),CONCATENATE(E70,"، "))))</f>
        <v/>
      </c>
      <c r="BE70" s="2" t="str">
        <f>IF(OR(F70="",F70="-"),"",IF((COUNTA(BE71:BE$100)-COUNTBLANK(BE71:BE$100))=0,F70,IF((COUNTA(BE71:BE$100)-COUNTBLANK(BE71:BE$100))=1,CONCATENATE(F70," و "),CONCATENATE(F70,"، "))))</f>
        <v/>
      </c>
      <c r="BF70" s="2" t="str">
        <f>IF(OR(G70="",G70="-"),"",IF((COUNTA(BF71:BF$100)-COUNTBLANK(BF71:BF$100))=0,G70,IF((COUNTA(BF71:BF$100)-COUNTBLANK(BF71:BF$100))=1,CONCATENATE(G70," و "),CONCATENATE(G70,"، "))))</f>
        <v/>
      </c>
      <c r="BG70" s="2" t="str">
        <f>IF(OR(H70="",H70="-"),"",IF((COUNTA(BG71:BG$100)-COUNTBLANK(BG71:BG$100))=0,H70,IF((COUNTA(BG71:BG$100)-COUNTBLANK(BG71:BG$100))=1,CONCATENATE(H70," و "),CONCATENATE(H70,"، "))))</f>
        <v/>
      </c>
      <c r="BH70" s="2" t="str">
        <f>IF(OR(I70="",I70="-"),"",IF((COUNTA(BH71:BH$100)-COUNTBLANK(BH71:BH$100))=0,I70,IF((COUNTA(BH71:BH$100)-COUNTBLANK(BH71:BH$100))=1,CONCATENATE(I70," و "),CONCATENATE(I70,"، "))))</f>
        <v/>
      </c>
      <c r="BI70" s="2" t="str">
        <f>IF(OR(J70="",J70="-"),"",IF((COUNTA(BI71:BI$100)-COUNTBLANK(BI71:BI$100))=0,J70,IF((COUNTA(BI71:BI$100)-COUNTBLANK(BI71:BI$100))=1,CONCATENATE(J70," و "),CONCATENATE(J70,"، "))))</f>
        <v/>
      </c>
      <c r="BJ70" s="2" t="str">
        <f>IF(M70="","",IF((COUNTA(BJ71:$BJ$100)-COUNTBLANK(BJ71:$BJ$100)&gt;0),CONCATENATE(M70,CHAR(10)),M70))</f>
        <v/>
      </c>
      <c r="BK70" s="6"/>
      <c r="BL70" s="2"/>
      <c r="BM70" s="2"/>
      <c r="BN70" s="2"/>
      <c r="BO70" s="2"/>
    </row>
    <row r="71" spans="1:67" x14ac:dyDescent="0.3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13"/>
      <c r="Z71" s="2"/>
      <c r="AA71" s="2"/>
      <c r="AB71" s="2"/>
      <c r="AC71" s="2"/>
      <c r="AD71" s="2"/>
      <c r="AE71" s="2"/>
      <c r="AF71" s="2"/>
      <c r="BA71" s="2" t="str">
        <f>IF(OR(B71="",B71="-"),"",IF((COUNTA(BA72:BA$100)-COUNTBLANK(BA72:BA$100))=0,B71,IF((COUNTA(BA72:BA$100)-COUNTBLANK(BA72:BA$100))=1,CONCATENATE(B71," و "),CONCATENATE(B71,"، "))))</f>
        <v/>
      </c>
      <c r="BB71" s="2" t="str">
        <f>IF(OR(C71="",C71="-"),"",IF((COUNTA(BB72:BB$100)-COUNTBLANK(BB72:BB$100))=0,C71,IF((COUNTA(BB72:BB$100)-COUNTBLANK(BB72:BB$100))=1,CONCATENATE(C71," و "),CONCATENATE(C71,"، "))))</f>
        <v/>
      </c>
      <c r="BC71" s="2" t="str">
        <f>IF(OR(D71="",D71="-"),"",IF((COUNTA(BC72:BC$100)-COUNTBLANK(BC72:BC$100))=0,D71,IF((COUNTA(BC72:BC$100)-COUNTBLANK(BC72:BC$100))=1,CONCATENATE(D71," و "),CONCATENATE(D71,"، "))))</f>
        <v/>
      </c>
      <c r="BD71" s="2" t="str">
        <f>IF(OR(E71="",E71="-"),"",IF((COUNTA(BD72:BD$100)-COUNTBLANK(BD72:BD$100))=0,E71,IF((COUNTA(BD72:BD$100)-COUNTBLANK(BD72:BD$100))=1,CONCATENATE(E71," و "),CONCATENATE(E71,"، "))))</f>
        <v/>
      </c>
      <c r="BE71" s="2" t="str">
        <f>IF(OR(F71="",F71="-"),"",IF((COUNTA(BE72:BE$100)-COUNTBLANK(BE72:BE$100))=0,F71,IF((COUNTA(BE72:BE$100)-COUNTBLANK(BE72:BE$100))=1,CONCATENATE(F71," و "),CONCATENATE(F71,"، "))))</f>
        <v/>
      </c>
      <c r="BF71" s="2" t="str">
        <f>IF(OR(G71="",G71="-"),"",IF((COUNTA(BF72:BF$100)-COUNTBLANK(BF72:BF$100))=0,G71,IF((COUNTA(BF72:BF$100)-COUNTBLANK(BF72:BF$100))=1,CONCATENATE(G71," و "),CONCATENATE(G71,"، "))))</f>
        <v/>
      </c>
      <c r="BG71" s="2" t="str">
        <f>IF(OR(H71="",H71="-"),"",IF((COUNTA(BG72:BG$100)-COUNTBLANK(BG72:BG$100))=0,H71,IF((COUNTA(BG72:BG$100)-COUNTBLANK(BG72:BG$100))=1,CONCATENATE(H71," و "),CONCATENATE(H71,"، "))))</f>
        <v/>
      </c>
      <c r="BH71" s="2" t="str">
        <f>IF(OR(I71="",I71="-"),"",IF((COUNTA(BH72:BH$100)-COUNTBLANK(BH72:BH$100))=0,I71,IF((COUNTA(BH72:BH$100)-COUNTBLANK(BH72:BH$100))=1,CONCATENATE(I71," و "),CONCATENATE(I71,"، "))))</f>
        <v/>
      </c>
      <c r="BI71" s="2" t="str">
        <f>IF(OR(J71="",J71="-"),"",IF((COUNTA(BI72:BI$100)-COUNTBLANK(BI72:BI$100))=0,J71,IF((COUNTA(BI72:BI$100)-COUNTBLANK(BI72:BI$100))=1,CONCATENATE(J71," و "),CONCATENATE(J71,"، "))))</f>
        <v/>
      </c>
      <c r="BJ71" s="2" t="str">
        <f>IF(M71="","",IF((COUNTA(BJ72:$BJ$100)-COUNTBLANK(BJ72:$BJ$100)&gt;0),CONCATENATE(M71,CHAR(10)),M71))</f>
        <v/>
      </c>
      <c r="BK71" s="6"/>
      <c r="BL71" s="2"/>
      <c r="BM71" s="2"/>
      <c r="BN71" s="2"/>
      <c r="BO71" s="2"/>
    </row>
    <row r="72" spans="1:67" x14ac:dyDescent="0.3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13"/>
      <c r="Z72" s="2"/>
      <c r="AA72" s="2"/>
      <c r="AB72" s="2"/>
      <c r="AC72" s="2"/>
      <c r="AD72" s="2"/>
      <c r="AE72" s="2"/>
      <c r="AF72" s="2"/>
      <c r="BA72" s="2" t="str">
        <f>IF(OR(B72="",B72="-"),"",IF((COUNTA(BA73:BA$100)-COUNTBLANK(BA73:BA$100))=0,B72,IF((COUNTA(BA73:BA$100)-COUNTBLANK(BA73:BA$100))=1,CONCATENATE(B72," و "),CONCATENATE(B72,"، "))))</f>
        <v/>
      </c>
      <c r="BB72" s="2" t="str">
        <f>IF(OR(C72="",C72="-"),"",IF((COUNTA(BB73:BB$100)-COUNTBLANK(BB73:BB$100))=0,C72,IF((COUNTA(BB73:BB$100)-COUNTBLANK(BB73:BB$100))=1,CONCATENATE(C72," و "),CONCATENATE(C72,"، "))))</f>
        <v/>
      </c>
      <c r="BC72" s="2" t="str">
        <f>IF(OR(D72="",D72="-"),"",IF((COUNTA(BC73:BC$100)-COUNTBLANK(BC73:BC$100))=0,D72,IF((COUNTA(BC73:BC$100)-COUNTBLANK(BC73:BC$100))=1,CONCATENATE(D72," و "),CONCATENATE(D72,"، "))))</f>
        <v/>
      </c>
      <c r="BD72" s="2" t="str">
        <f>IF(OR(E72="",E72="-"),"",IF((COUNTA(BD73:BD$100)-COUNTBLANK(BD73:BD$100))=0,E72,IF((COUNTA(BD73:BD$100)-COUNTBLANK(BD73:BD$100))=1,CONCATENATE(E72," و "),CONCATENATE(E72,"، "))))</f>
        <v/>
      </c>
      <c r="BE72" s="2" t="str">
        <f>IF(OR(F72="",F72="-"),"",IF((COUNTA(BE73:BE$100)-COUNTBLANK(BE73:BE$100))=0,F72,IF((COUNTA(BE73:BE$100)-COUNTBLANK(BE73:BE$100))=1,CONCATENATE(F72," و "),CONCATENATE(F72,"، "))))</f>
        <v/>
      </c>
      <c r="BF72" s="2" t="str">
        <f>IF(OR(G72="",G72="-"),"",IF((COUNTA(BF73:BF$100)-COUNTBLANK(BF73:BF$100))=0,G72,IF((COUNTA(BF73:BF$100)-COUNTBLANK(BF73:BF$100))=1,CONCATENATE(G72," و "),CONCATENATE(G72,"، "))))</f>
        <v/>
      </c>
      <c r="BG72" s="2" t="str">
        <f>IF(OR(H72="",H72="-"),"",IF((COUNTA(BG73:BG$100)-COUNTBLANK(BG73:BG$100))=0,H72,IF((COUNTA(BG73:BG$100)-COUNTBLANK(BG73:BG$100))=1,CONCATENATE(H72," و "),CONCATENATE(H72,"، "))))</f>
        <v/>
      </c>
      <c r="BH72" s="2" t="str">
        <f>IF(OR(I72="",I72="-"),"",IF((COUNTA(BH73:BH$100)-COUNTBLANK(BH73:BH$100))=0,I72,IF((COUNTA(BH73:BH$100)-COUNTBLANK(BH73:BH$100))=1,CONCATENATE(I72," و "),CONCATENATE(I72,"، "))))</f>
        <v/>
      </c>
      <c r="BI72" s="2" t="str">
        <f>IF(OR(J72="",J72="-"),"",IF((COUNTA(BI73:BI$100)-COUNTBLANK(BI73:BI$100))=0,J72,IF((COUNTA(BI73:BI$100)-COUNTBLANK(BI73:BI$100))=1,CONCATENATE(J72," و "),CONCATENATE(J72,"، "))))</f>
        <v/>
      </c>
      <c r="BJ72" s="2" t="str">
        <f>IF(M72="","",IF((COUNTA(BJ73:$BJ$100)-COUNTBLANK(BJ73:$BJ$100)&gt;0),CONCATENATE(M72,CHAR(10)),M72))</f>
        <v/>
      </c>
      <c r="BK72" s="6"/>
      <c r="BL72" s="2"/>
      <c r="BM72" s="2"/>
      <c r="BN72" s="2"/>
      <c r="BO72" s="2"/>
    </row>
    <row r="73" spans="1:67" x14ac:dyDescent="0.3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13"/>
      <c r="Z73" s="2"/>
      <c r="AA73" s="2"/>
      <c r="AB73" s="2"/>
      <c r="AC73" s="2"/>
      <c r="AD73" s="2"/>
      <c r="AE73" s="2"/>
      <c r="AF73" s="2"/>
      <c r="BA73" s="2" t="str">
        <f>IF(OR(B73="",B73="-"),"",IF((COUNTA(BA74:BA$100)-COUNTBLANK(BA74:BA$100))=0,B73,IF((COUNTA(BA74:BA$100)-COUNTBLANK(BA74:BA$100))=1,CONCATENATE(B73," و "),CONCATENATE(B73,"، "))))</f>
        <v/>
      </c>
      <c r="BB73" s="2" t="str">
        <f>IF(OR(C73="",C73="-"),"",IF((COUNTA(BB74:BB$100)-COUNTBLANK(BB74:BB$100))=0,C73,IF((COUNTA(BB74:BB$100)-COUNTBLANK(BB74:BB$100))=1,CONCATENATE(C73," و "),CONCATENATE(C73,"، "))))</f>
        <v/>
      </c>
      <c r="BC73" s="2" t="str">
        <f>IF(OR(D73="",D73="-"),"",IF((COUNTA(BC74:BC$100)-COUNTBLANK(BC74:BC$100))=0,D73,IF((COUNTA(BC74:BC$100)-COUNTBLANK(BC74:BC$100))=1,CONCATENATE(D73," و "),CONCATENATE(D73,"، "))))</f>
        <v/>
      </c>
      <c r="BD73" s="2" t="str">
        <f>IF(OR(E73="",E73="-"),"",IF((COUNTA(BD74:BD$100)-COUNTBLANK(BD74:BD$100))=0,E73,IF((COUNTA(BD74:BD$100)-COUNTBLANK(BD74:BD$100))=1,CONCATENATE(E73," و "),CONCATENATE(E73,"، "))))</f>
        <v/>
      </c>
      <c r="BE73" s="2" t="str">
        <f>IF(OR(F73="",F73="-"),"",IF((COUNTA(BE74:BE$100)-COUNTBLANK(BE74:BE$100))=0,F73,IF((COUNTA(BE74:BE$100)-COUNTBLANK(BE74:BE$100))=1,CONCATENATE(F73," و "),CONCATENATE(F73,"، "))))</f>
        <v/>
      </c>
      <c r="BF73" s="2" t="str">
        <f>IF(OR(G73="",G73="-"),"",IF((COUNTA(BF74:BF$100)-COUNTBLANK(BF74:BF$100))=0,G73,IF((COUNTA(BF74:BF$100)-COUNTBLANK(BF74:BF$100))=1,CONCATENATE(G73," و "),CONCATENATE(G73,"، "))))</f>
        <v/>
      </c>
      <c r="BG73" s="2" t="str">
        <f>IF(OR(H73="",H73="-"),"",IF((COUNTA(BG74:BG$100)-COUNTBLANK(BG74:BG$100))=0,H73,IF((COUNTA(BG74:BG$100)-COUNTBLANK(BG74:BG$100))=1,CONCATENATE(H73," و "),CONCATENATE(H73,"، "))))</f>
        <v/>
      </c>
      <c r="BH73" s="2" t="str">
        <f>IF(OR(I73="",I73="-"),"",IF((COUNTA(BH74:BH$100)-COUNTBLANK(BH74:BH$100))=0,I73,IF((COUNTA(BH74:BH$100)-COUNTBLANK(BH74:BH$100))=1,CONCATENATE(I73," و "),CONCATENATE(I73,"، "))))</f>
        <v/>
      </c>
      <c r="BI73" s="2" t="str">
        <f>IF(OR(J73="",J73="-"),"",IF((COUNTA(BI74:BI$100)-COUNTBLANK(BI74:BI$100))=0,J73,IF((COUNTA(BI74:BI$100)-COUNTBLANK(BI74:BI$100))=1,CONCATENATE(J73," و "),CONCATENATE(J73,"، "))))</f>
        <v/>
      </c>
      <c r="BJ73" s="2" t="str">
        <f>IF(M73="","",IF((COUNTA(BJ74:$BJ$100)-COUNTBLANK(BJ74:$BJ$100)&gt;0),CONCATENATE(M73,CHAR(10)),M73))</f>
        <v/>
      </c>
      <c r="BK73" s="6"/>
      <c r="BL73" s="2"/>
      <c r="BM73" s="2"/>
      <c r="BN73" s="2"/>
      <c r="BO73" s="2"/>
    </row>
    <row r="74" spans="1:67" x14ac:dyDescent="0.3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13"/>
      <c r="Z74" s="2"/>
      <c r="AA74" s="2"/>
      <c r="AB74" s="2"/>
      <c r="AC74" s="2"/>
      <c r="AD74" s="2"/>
      <c r="AE74" s="2"/>
      <c r="AF74" s="2"/>
      <c r="BA74" s="2" t="str">
        <f>IF(OR(B74="",B74="-"),"",IF((COUNTA(BA75:BA$100)-COUNTBLANK(BA75:BA$100))=0,B74,IF((COUNTA(BA75:BA$100)-COUNTBLANK(BA75:BA$100))=1,CONCATENATE(B74," و "),CONCATENATE(B74,"، "))))</f>
        <v/>
      </c>
      <c r="BB74" s="2" t="str">
        <f>IF(OR(C74="",C74="-"),"",IF((COUNTA(BB75:BB$100)-COUNTBLANK(BB75:BB$100))=0,C74,IF((COUNTA(BB75:BB$100)-COUNTBLANK(BB75:BB$100))=1,CONCATENATE(C74," و "),CONCATENATE(C74,"، "))))</f>
        <v/>
      </c>
      <c r="BC74" s="2" t="str">
        <f>IF(OR(D74="",D74="-"),"",IF((COUNTA(BC75:BC$100)-COUNTBLANK(BC75:BC$100))=0,D74,IF((COUNTA(BC75:BC$100)-COUNTBLANK(BC75:BC$100))=1,CONCATENATE(D74," و "),CONCATENATE(D74,"، "))))</f>
        <v/>
      </c>
      <c r="BD74" s="2" t="str">
        <f>IF(OR(E74="",E74="-"),"",IF((COUNTA(BD75:BD$100)-COUNTBLANK(BD75:BD$100))=0,E74,IF((COUNTA(BD75:BD$100)-COUNTBLANK(BD75:BD$100))=1,CONCATENATE(E74," و "),CONCATENATE(E74,"، "))))</f>
        <v/>
      </c>
      <c r="BE74" s="2" t="str">
        <f>IF(OR(F74="",F74="-"),"",IF((COUNTA(BE75:BE$100)-COUNTBLANK(BE75:BE$100))=0,F74,IF((COUNTA(BE75:BE$100)-COUNTBLANK(BE75:BE$100))=1,CONCATENATE(F74," و "),CONCATENATE(F74,"، "))))</f>
        <v/>
      </c>
      <c r="BF74" s="2" t="str">
        <f>IF(OR(G74="",G74="-"),"",IF((COUNTA(BF75:BF$100)-COUNTBLANK(BF75:BF$100))=0,G74,IF((COUNTA(BF75:BF$100)-COUNTBLANK(BF75:BF$100))=1,CONCATENATE(G74," و "),CONCATENATE(G74,"، "))))</f>
        <v/>
      </c>
      <c r="BG74" s="2" t="str">
        <f>IF(OR(H74="",H74="-"),"",IF((COUNTA(BG75:BG$100)-COUNTBLANK(BG75:BG$100))=0,H74,IF((COUNTA(BG75:BG$100)-COUNTBLANK(BG75:BG$100))=1,CONCATENATE(H74," و "),CONCATENATE(H74,"، "))))</f>
        <v/>
      </c>
      <c r="BH74" s="2" t="str">
        <f>IF(OR(I74="",I74="-"),"",IF((COUNTA(BH75:BH$100)-COUNTBLANK(BH75:BH$100))=0,I74,IF((COUNTA(BH75:BH$100)-COUNTBLANK(BH75:BH$100))=1,CONCATENATE(I74," و "),CONCATENATE(I74,"، "))))</f>
        <v/>
      </c>
      <c r="BI74" s="2" t="str">
        <f>IF(OR(J74="",J74="-"),"",IF((COUNTA(BI75:BI$100)-COUNTBLANK(BI75:BI$100))=0,J74,IF((COUNTA(BI75:BI$100)-COUNTBLANK(BI75:BI$100))=1,CONCATENATE(J74," و "),CONCATENATE(J74,"، "))))</f>
        <v/>
      </c>
      <c r="BJ74" s="2" t="str">
        <f>IF(M74="","",IF((COUNTA(BJ75:$BJ$100)-COUNTBLANK(BJ75:$BJ$100)&gt;0),CONCATENATE(M74,CHAR(10)),M74))</f>
        <v/>
      </c>
      <c r="BK74" s="6"/>
      <c r="BL74" s="2"/>
      <c r="BM74" s="2"/>
      <c r="BN74" s="2"/>
      <c r="BO74" s="2"/>
    </row>
    <row r="75" spans="1:67" x14ac:dyDescent="0.3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13"/>
      <c r="Z75" s="2"/>
      <c r="AA75" s="2"/>
      <c r="AB75" s="2"/>
      <c r="AC75" s="2"/>
      <c r="AD75" s="2"/>
      <c r="AE75" s="2"/>
      <c r="AF75" s="2"/>
      <c r="BA75" s="2" t="str">
        <f>IF(OR(B75="",B75="-"),"",IF((COUNTA(BA76:BA$100)-COUNTBLANK(BA76:BA$100))=0,B75,IF((COUNTA(BA76:BA$100)-COUNTBLANK(BA76:BA$100))=1,CONCATENATE(B75," و "),CONCATENATE(B75,"، "))))</f>
        <v/>
      </c>
      <c r="BB75" s="2" t="str">
        <f>IF(OR(C75="",C75="-"),"",IF((COUNTA(BB76:BB$100)-COUNTBLANK(BB76:BB$100))=0,C75,IF((COUNTA(BB76:BB$100)-COUNTBLANK(BB76:BB$100))=1,CONCATENATE(C75," و "),CONCATENATE(C75,"، "))))</f>
        <v/>
      </c>
      <c r="BC75" s="2" t="str">
        <f>IF(OR(D75="",D75="-"),"",IF((COUNTA(BC76:BC$100)-COUNTBLANK(BC76:BC$100))=0,D75,IF((COUNTA(BC76:BC$100)-COUNTBLANK(BC76:BC$100))=1,CONCATENATE(D75," و "),CONCATENATE(D75,"، "))))</f>
        <v/>
      </c>
      <c r="BD75" s="2" t="str">
        <f>IF(OR(E75="",E75="-"),"",IF((COUNTA(BD76:BD$100)-COUNTBLANK(BD76:BD$100))=0,E75,IF((COUNTA(BD76:BD$100)-COUNTBLANK(BD76:BD$100))=1,CONCATENATE(E75," و "),CONCATENATE(E75,"، "))))</f>
        <v/>
      </c>
      <c r="BE75" s="2" t="str">
        <f>IF(OR(F75="",F75="-"),"",IF((COUNTA(BE76:BE$100)-COUNTBLANK(BE76:BE$100))=0,F75,IF((COUNTA(BE76:BE$100)-COUNTBLANK(BE76:BE$100))=1,CONCATENATE(F75," و "),CONCATENATE(F75,"، "))))</f>
        <v/>
      </c>
      <c r="BF75" s="2" t="str">
        <f>IF(OR(G75="",G75="-"),"",IF((COUNTA(BF76:BF$100)-COUNTBLANK(BF76:BF$100))=0,G75,IF((COUNTA(BF76:BF$100)-COUNTBLANK(BF76:BF$100))=1,CONCATENATE(G75," و "),CONCATENATE(G75,"، "))))</f>
        <v/>
      </c>
      <c r="BG75" s="2" t="str">
        <f>IF(OR(H75="",H75="-"),"",IF((COUNTA(BG76:BG$100)-COUNTBLANK(BG76:BG$100))=0,H75,IF((COUNTA(BG76:BG$100)-COUNTBLANK(BG76:BG$100))=1,CONCATENATE(H75," و "),CONCATENATE(H75,"، "))))</f>
        <v/>
      </c>
      <c r="BH75" s="2" t="str">
        <f>IF(OR(I75="",I75="-"),"",IF((COUNTA(BH76:BH$100)-COUNTBLANK(BH76:BH$100))=0,I75,IF((COUNTA(BH76:BH$100)-COUNTBLANK(BH76:BH$100))=1,CONCATENATE(I75," و "),CONCATENATE(I75,"، "))))</f>
        <v/>
      </c>
      <c r="BI75" s="2" t="str">
        <f>IF(OR(J75="",J75="-"),"",IF((COUNTA(BI76:BI$100)-COUNTBLANK(BI76:BI$100))=0,J75,IF((COUNTA(BI76:BI$100)-COUNTBLANK(BI76:BI$100))=1,CONCATENATE(J75," و "),CONCATENATE(J75,"، "))))</f>
        <v/>
      </c>
      <c r="BJ75" s="2" t="str">
        <f>IF(M75="","",IF((COUNTA(BJ76:$BJ$100)-COUNTBLANK(BJ76:$BJ$100)&gt;0),CONCATENATE(M75,CHAR(10)),M75))</f>
        <v/>
      </c>
      <c r="BK75" s="6"/>
      <c r="BL75" s="2"/>
      <c r="BM75" s="2"/>
      <c r="BN75" s="2"/>
      <c r="BO75" s="2"/>
    </row>
    <row r="76" spans="1:67" x14ac:dyDescent="0.3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13"/>
      <c r="Z76" s="2"/>
      <c r="AA76" s="2"/>
      <c r="AB76" s="2"/>
      <c r="AC76" s="2"/>
      <c r="AD76" s="2"/>
      <c r="AE76" s="2"/>
      <c r="AF76" s="2"/>
      <c r="BA76" s="2" t="str">
        <f>IF(OR(B76="",B76="-"),"",IF((COUNTA(BA77:BA$100)-COUNTBLANK(BA77:BA$100))=0,B76,IF((COUNTA(BA77:BA$100)-COUNTBLANK(BA77:BA$100))=1,CONCATENATE(B76," و "),CONCATENATE(B76,"، "))))</f>
        <v/>
      </c>
      <c r="BB76" s="2" t="str">
        <f>IF(OR(C76="",C76="-"),"",IF((COUNTA(BB77:BB$100)-COUNTBLANK(BB77:BB$100))=0,C76,IF((COUNTA(BB77:BB$100)-COUNTBLANK(BB77:BB$100))=1,CONCATENATE(C76," و "),CONCATENATE(C76,"، "))))</f>
        <v/>
      </c>
      <c r="BC76" s="2" t="str">
        <f>IF(OR(D76="",D76="-"),"",IF((COUNTA(BC77:BC$100)-COUNTBLANK(BC77:BC$100))=0,D76,IF((COUNTA(BC77:BC$100)-COUNTBLANK(BC77:BC$100))=1,CONCATENATE(D76," و "),CONCATENATE(D76,"، "))))</f>
        <v/>
      </c>
      <c r="BD76" s="2" t="str">
        <f>IF(OR(E76="",E76="-"),"",IF((COUNTA(BD77:BD$100)-COUNTBLANK(BD77:BD$100))=0,E76,IF((COUNTA(BD77:BD$100)-COUNTBLANK(BD77:BD$100))=1,CONCATENATE(E76," و "),CONCATENATE(E76,"، "))))</f>
        <v/>
      </c>
      <c r="BE76" s="2" t="str">
        <f>IF(OR(F76="",F76="-"),"",IF((COUNTA(BE77:BE$100)-COUNTBLANK(BE77:BE$100))=0,F76,IF((COUNTA(BE77:BE$100)-COUNTBLANK(BE77:BE$100))=1,CONCATENATE(F76," و "),CONCATENATE(F76,"، "))))</f>
        <v/>
      </c>
      <c r="BF76" s="2" t="str">
        <f>IF(OR(G76="",G76="-"),"",IF((COUNTA(BF77:BF$100)-COUNTBLANK(BF77:BF$100))=0,G76,IF((COUNTA(BF77:BF$100)-COUNTBLANK(BF77:BF$100))=1,CONCATENATE(G76," و "),CONCATENATE(G76,"، "))))</f>
        <v/>
      </c>
      <c r="BG76" s="2" t="str">
        <f>IF(OR(H76="",H76="-"),"",IF((COUNTA(BG77:BG$100)-COUNTBLANK(BG77:BG$100))=0,H76,IF((COUNTA(BG77:BG$100)-COUNTBLANK(BG77:BG$100))=1,CONCATENATE(H76," و "),CONCATENATE(H76,"، "))))</f>
        <v/>
      </c>
      <c r="BH76" s="2" t="str">
        <f>IF(OR(I76="",I76="-"),"",IF((COUNTA(BH77:BH$100)-COUNTBLANK(BH77:BH$100))=0,I76,IF((COUNTA(BH77:BH$100)-COUNTBLANK(BH77:BH$100))=1,CONCATENATE(I76," و "),CONCATENATE(I76,"، "))))</f>
        <v/>
      </c>
      <c r="BI76" s="2" t="str">
        <f>IF(OR(J76="",J76="-"),"",IF((COUNTA(BI77:BI$100)-COUNTBLANK(BI77:BI$100))=0,J76,IF((COUNTA(BI77:BI$100)-COUNTBLANK(BI77:BI$100))=1,CONCATENATE(J76," و "),CONCATENATE(J76,"، "))))</f>
        <v/>
      </c>
      <c r="BJ76" s="2" t="str">
        <f>IF(M76="","",IF((COUNTA(BJ77:$BJ$100)-COUNTBLANK(BJ77:$BJ$100)&gt;0),CONCATENATE(M76,CHAR(10)),M76))</f>
        <v/>
      </c>
      <c r="BK76" s="6"/>
      <c r="BL76" s="2"/>
      <c r="BM76" s="2"/>
      <c r="BN76" s="2"/>
      <c r="BO76" s="2"/>
    </row>
    <row r="77" spans="1:67" x14ac:dyDescent="0.3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13"/>
      <c r="Z77" s="2"/>
      <c r="AA77" s="2"/>
      <c r="AB77" s="2"/>
      <c r="AC77" s="2"/>
      <c r="AD77" s="2"/>
      <c r="AE77" s="2"/>
      <c r="AF77" s="2"/>
      <c r="BA77" s="2" t="str">
        <f>IF(OR(B77="",B77="-"),"",IF((COUNTA(BA78:BA$100)-COUNTBLANK(BA78:BA$100))=0,B77,IF((COUNTA(BA78:BA$100)-COUNTBLANK(BA78:BA$100))=1,CONCATENATE(B77," و "),CONCATENATE(B77,"، "))))</f>
        <v/>
      </c>
      <c r="BB77" s="2" t="str">
        <f>IF(OR(C77="",C77="-"),"",IF((COUNTA(BB78:BB$100)-COUNTBLANK(BB78:BB$100))=0,C77,IF((COUNTA(BB78:BB$100)-COUNTBLANK(BB78:BB$100))=1,CONCATENATE(C77," و "),CONCATENATE(C77,"، "))))</f>
        <v/>
      </c>
      <c r="BC77" s="2" t="str">
        <f>IF(OR(D77="",D77="-"),"",IF((COUNTA(BC78:BC$100)-COUNTBLANK(BC78:BC$100))=0,D77,IF((COUNTA(BC78:BC$100)-COUNTBLANK(BC78:BC$100))=1,CONCATENATE(D77," و "),CONCATENATE(D77,"، "))))</f>
        <v/>
      </c>
      <c r="BD77" s="2" t="str">
        <f>IF(OR(E77="",E77="-"),"",IF((COUNTA(BD78:BD$100)-COUNTBLANK(BD78:BD$100))=0,E77,IF((COUNTA(BD78:BD$100)-COUNTBLANK(BD78:BD$100))=1,CONCATENATE(E77," و "),CONCATENATE(E77,"، "))))</f>
        <v/>
      </c>
      <c r="BE77" s="2" t="str">
        <f>IF(OR(F77="",F77="-"),"",IF((COUNTA(BE78:BE$100)-COUNTBLANK(BE78:BE$100))=0,F77,IF((COUNTA(BE78:BE$100)-COUNTBLANK(BE78:BE$100))=1,CONCATENATE(F77," و "),CONCATENATE(F77,"، "))))</f>
        <v/>
      </c>
      <c r="BF77" s="2" t="str">
        <f>IF(OR(G77="",G77="-"),"",IF((COUNTA(BF78:BF$100)-COUNTBLANK(BF78:BF$100))=0,G77,IF((COUNTA(BF78:BF$100)-COUNTBLANK(BF78:BF$100))=1,CONCATENATE(G77," و "),CONCATENATE(G77,"، "))))</f>
        <v/>
      </c>
      <c r="BG77" s="2" t="str">
        <f>IF(OR(H77="",H77="-"),"",IF((COUNTA(BG78:BG$100)-COUNTBLANK(BG78:BG$100))=0,H77,IF((COUNTA(BG78:BG$100)-COUNTBLANK(BG78:BG$100))=1,CONCATENATE(H77," و "),CONCATENATE(H77,"، "))))</f>
        <v/>
      </c>
      <c r="BH77" s="2" t="str">
        <f>IF(OR(I77="",I77="-"),"",IF((COUNTA(BH78:BH$100)-COUNTBLANK(BH78:BH$100))=0,I77,IF((COUNTA(BH78:BH$100)-COUNTBLANK(BH78:BH$100))=1,CONCATENATE(I77," و "),CONCATENATE(I77,"، "))))</f>
        <v/>
      </c>
      <c r="BI77" s="2" t="str">
        <f>IF(OR(J77="",J77="-"),"",IF((COUNTA(BI78:BI$100)-COUNTBLANK(BI78:BI$100))=0,J77,IF((COUNTA(BI78:BI$100)-COUNTBLANK(BI78:BI$100))=1,CONCATENATE(J77," و "),CONCATENATE(J77,"، "))))</f>
        <v/>
      </c>
      <c r="BJ77" s="2" t="str">
        <f>IF(M77="","",IF((COUNTA(BJ78:$BJ$100)-COUNTBLANK(BJ78:$BJ$100)&gt;0),CONCATENATE(M77,CHAR(10)),M77))</f>
        <v/>
      </c>
      <c r="BK77" s="6"/>
      <c r="BL77" s="2"/>
      <c r="BM77" s="2"/>
      <c r="BN77" s="2"/>
      <c r="BO77" s="2"/>
    </row>
    <row r="78" spans="1:67" x14ac:dyDescent="0.3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13"/>
      <c r="Z78" s="2"/>
      <c r="AA78" s="2"/>
      <c r="AB78" s="2"/>
      <c r="AC78" s="2"/>
      <c r="AD78" s="2"/>
      <c r="AE78" s="2"/>
      <c r="AF78" s="2"/>
      <c r="BA78" s="2" t="str">
        <f>IF(OR(B78="",B78="-"),"",IF((COUNTA(BA79:BA$100)-COUNTBLANK(BA79:BA$100))=0,B78,IF((COUNTA(BA79:BA$100)-COUNTBLANK(BA79:BA$100))=1,CONCATENATE(B78," و "),CONCATENATE(B78,"، "))))</f>
        <v/>
      </c>
      <c r="BB78" s="2" t="str">
        <f>IF(OR(C78="",C78="-"),"",IF((COUNTA(BB79:BB$100)-COUNTBLANK(BB79:BB$100))=0,C78,IF((COUNTA(BB79:BB$100)-COUNTBLANK(BB79:BB$100))=1,CONCATENATE(C78," و "),CONCATENATE(C78,"، "))))</f>
        <v/>
      </c>
      <c r="BC78" s="2" t="str">
        <f>IF(OR(D78="",D78="-"),"",IF((COUNTA(BC79:BC$100)-COUNTBLANK(BC79:BC$100))=0,D78,IF((COUNTA(BC79:BC$100)-COUNTBLANK(BC79:BC$100))=1,CONCATENATE(D78," و "),CONCATENATE(D78,"، "))))</f>
        <v/>
      </c>
      <c r="BD78" s="2" t="str">
        <f>IF(OR(E78="",E78="-"),"",IF((COUNTA(BD79:BD$100)-COUNTBLANK(BD79:BD$100))=0,E78,IF((COUNTA(BD79:BD$100)-COUNTBLANK(BD79:BD$100))=1,CONCATENATE(E78," و "),CONCATENATE(E78,"، "))))</f>
        <v/>
      </c>
      <c r="BE78" s="2" t="str">
        <f>IF(OR(F78="",F78="-"),"",IF((COUNTA(BE79:BE$100)-COUNTBLANK(BE79:BE$100))=0,F78,IF((COUNTA(BE79:BE$100)-COUNTBLANK(BE79:BE$100))=1,CONCATENATE(F78," و "),CONCATENATE(F78,"، "))))</f>
        <v/>
      </c>
      <c r="BF78" s="2" t="str">
        <f>IF(OR(G78="",G78="-"),"",IF((COUNTA(BF79:BF$100)-COUNTBLANK(BF79:BF$100))=0,G78,IF((COUNTA(BF79:BF$100)-COUNTBLANK(BF79:BF$100))=1,CONCATENATE(G78," و "),CONCATENATE(G78,"، "))))</f>
        <v/>
      </c>
      <c r="BG78" s="2" t="str">
        <f>IF(OR(H78="",H78="-"),"",IF((COUNTA(BG79:BG$100)-COUNTBLANK(BG79:BG$100))=0,H78,IF((COUNTA(BG79:BG$100)-COUNTBLANK(BG79:BG$100))=1,CONCATENATE(H78," و "),CONCATENATE(H78,"، "))))</f>
        <v/>
      </c>
      <c r="BH78" s="2" t="str">
        <f>IF(OR(I78="",I78="-"),"",IF((COUNTA(BH79:BH$100)-COUNTBLANK(BH79:BH$100))=0,I78,IF((COUNTA(BH79:BH$100)-COUNTBLANK(BH79:BH$100))=1,CONCATENATE(I78," و "),CONCATENATE(I78,"، "))))</f>
        <v/>
      </c>
      <c r="BI78" s="2" t="str">
        <f>IF(OR(J78="",J78="-"),"",IF((COUNTA(BI79:BI$100)-COUNTBLANK(BI79:BI$100))=0,J78,IF((COUNTA(BI79:BI$100)-COUNTBLANK(BI79:BI$100))=1,CONCATENATE(J78," و "),CONCATENATE(J78,"، "))))</f>
        <v/>
      </c>
      <c r="BJ78" s="2" t="str">
        <f>IF(M78="","",IF((COUNTA(BJ79:$BJ$100)-COUNTBLANK(BJ79:$BJ$100)&gt;0),CONCATENATE(M78,CHAR(10)),M78))</f>
        <v/>
      </c>
      <c r="BK78" s="6"/>
      <c r="BL78" s="2"/>
      <c r="BM78" s="2"/>
      <c r="BN78" s="2"/>
      <c r="BO78" s="2"/>
    </row>
    <row r="79" spans="1:67" x14ac:dyDescent="0.3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13"/>
      <c r="Z79" s="2"/>
      <c r="AA79" s="2"/>
      <c r="AB79" s="2"/>
      <c r="AC79" s="2"/>
      <c r="AD79" s="2"/>
      <c r="AE79" s="2"/>
      <c r="AF79" s="2"/>
      <c r="BA79" s="2" t="str">
        <f>IF(OR(B79="",B79="-"),"",IF((COUNTA(BA80:BA$100)-COUNTBLANK(BA80:BA$100))=0,B79,IF((COUNTA(BA80:BA$100)-COUNTBLANK(BA80:BA$100))=1,CONCATENATE(B79," و "),CONCATENATE(B79,"، "))))</f>
        <v/>
      </c>
      <c r="BB79" s="2" t="str">
        <f>IF(OR(C79="",C79="-"),"",IF((COUNTA(BB80:BB$100)-COUNTBLANK(BB80:BB$100))=0,C79,IF((COUNTA(BB80:BB$100)-COUNTBLANK(BB80:BB$100))=1,CONCATENATE(C79," و "),CONCATENATE(C79,"، "))))</f>
        <v/>
      </c>
      <c r="BC79" s="2" t="str">
        <f>IF(OR(D79="",D79="-"),"",IF((COUNTA(BC80:BC$100)-COUNTBLANK(BC80:BC$100))=0,D79,IF((COUNTA(BC80:BC$100)-COUNTBLANK(BC80:BC$100))=1,CONCATENATE(D79," و "),CONCATENATE(D79,"، "))))</f>
        <v/>
      </c>
      <c r="BD79" s="2" t="str">
        <f>IF(OR(E79="",E79="-"),"",IF((COUNTA(BD80:BD$100)-COUNTBLANK(BD80:BD$100))=0,E79,IF((COUNTA(BD80:BD$100)-COUNTBLANK(BD80:BD$100))=1,CONCATENATE(E79," و "),CONCATENATE(E79,"، "))))</f>
        <v/>
      </c>
      <c r="BE79" s="2" t="str">
        <f>IF(OR(F79="",F79="-"),"",IF((COUNTA(BE80:BE$100)-COUNTBLANK(BE80:BE$100))=0,F79,IF((COUNTA(BE80:BE$100)-COUNTBLANK(BE80:BE$100))=1,CONCATENATE(F79," و "),CONCATENATE(F79,"، "))))</f>
        <v/>
      </c>
      <c r="BF79" s="2" t="str">
        <f>IF(OR(G79="",G79="-"),"",IF((COUNTA(BF80:BF$100)-COUNTBLANK(BF80:BF$100))=0,G79,IF((COUNTA(BF80:BF$100)-COUNTBLANK(BF80:BF$100))=1,CONCATENATE(G79," و "),CONCATENATE(G79,"، "))))</f>
        <v/>
      </c>
      <c r="BG79" s="2" t="str">
        <f>IF(OR(H79="",H79="-"),"",IF((COUNTA(BG80:BG$100)-COUNTBLANK(BG80:BG$100))=0,H79,IF((COUNTA(BG80:BG$100)-COUNTBLANK(BG80:BG$100))=1,CONCATENATE(H79," و "),CONCATENATE(H79,"، "))))</f>
        <v/>
      </c>
      <c r="BH79" s="2" t="str">
        <f>IF(OR(I79="",I79="-"),"",IF((COUNTA(BH80:BH$100)-COUNTBLANK(BH80:BH$100))=0,I79,IF((COUNTA(BH80:BH$100)-COUNTBLANK(BH80:BH$100))=1,CONCATENATE(I79," و "),CONCATENATE(I79,"، "))))</f>
        <v/>
      </c>
      <c r="BI79" s="2" t="str">
        <f>IF(OR(J79="",J79="-"),"",IF((COUNTA(BI80:BI$100)-COUNTBLANK(BI80:BI$100))=0,J79,IF((COUNTA(BI80:BI$100)-COUNTBLANK(BI80:BI$100))=1,CONCATENATE(J79," و "),CONCATENATE(J79,"، "))))</f>
        <v/>
      </c>
      <c r="BJ79" s="2" t="str">
        <f>IF(M79="","",IF((COUNTA(BJ80:$BJ$100)-COUNTBLANK(BJ80:$BJ$100)&gt;0),CONCATENATE(M79,CHAR(10)),M79))</f>
        <v/>
      </c>
      <c r="BK79" s="6"/>
      <c r="BL79" s="2"/>
      <c r="BM79" s="2"/>
      <c r="BN79" s="2"/>
      <c r="BO79" s="2"/>
    </row>
    <row r="80" spans="1:67" x14ac:dyDescent="0.3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13"/>
      <c r="Z80" s="2"/>
      <c r="AA80" s="2"/>
      <c r="AB80" s="2"/>
      <c r="AC80" s="2"/>
      <c r="AD80" s="2"/>
      <c r="AE80" s="2"/>
      <c r="AF80" s="2"/>
      <c r="BA80" s="2" t="str">
        <f>IF(OR(B80="",B80="-"),"",IF((COUNTA(BA81:BA$100)-COUNTBLANK(BA81:BA$100))=0,B80,IF((COUNTA(BA81:BA$100)-COUNTBLANK(BA81:BA$100))=1,CONCATENATE(B80," و "),CONCATENATE(B80,"، "))))</f>
        <v/>
      </c>
      <c r="BB80" s="2" t="str">
        <f>IF(OR(C80="",C80="-"),"",IF((COUNTA(BB81:BB$100)-COUNTBLANK(BB81:BB$100))=0,C80,IF((COUNTA(BB81:BB$100)-COUNTBLANK(BB81:BB$100))=1,CONCATENATE(C80," و "),CONCATENATE(C80,"، "))))</f>
        <v/>
      </c>
      <c r="BC80" s="2" t="str">
        <f>IF(OR(D80="",D80="-"),"",IF((COUNTA(BC81:BC$100)-COUNTBLANK(BC81:BC$100))=0,D80,IF((COUNTA(BC81:BC$100)-COUNTBLANK(BC81:BC$100))=1,CONCATENATE(D80," و "),CONCATENATE(D80,"، "))))</f>
        <v/>
      </c>
      <c r="BD80" s="2" t="str">
        <f>IF(OR(E80="",E80="-"),"",IF((COUNTA(BD81:BD$100)-COUNTBLANK(BD81:BD$100))=0,E80,IF((COUNTA(BD81:BD$100)-COUNTBLANK(BD81:BD$100))=1,CONCATENATE(E80," و "),CONCATENATE(E80,"، "))))</f>
        <v/>
      </c>
      <c r="BE80" s="2" t="str">
        <f>IF(OR(F80="",F80="-"),"",IF((COUNTA(BE81:BE$100)-COUNTBLANK(BE81:BE$100))=0,F80,IF((COUNTA(BE81:BE$100)-COUNTBLANK(BE81:BE$100))=1,CONCATENATE(F80," و "),CONCATENATE(F80,"، "))))</f>
        <v/>
      </c>
      <c r="BF80" s="2" t="str">
        <f>IF(OR(G80="",G80="-"),"",IF((COUNTA(BF81:BF$100)-COUNTBLANK(BF81:BF$100))=0,G80,IF((COUNTA(BF81:BF$100)-COUNTBLANK(BF81:BF$100))=1,CONCATENATE(G80," و "),CONCATENATE(G80,"، "))))</f>
        <v/>
      </c>
      <c r="BG80" s="2" t="str">
        <f>IF(OR(H80="",H80="-"),"",IF((COUNTA(BG81:BG$100)-COUNTBLANK(BG81:BG$100))=0,H80,IF((COUNTA(BG81:BG$100)-COUNTBLANK(BG81:BG$100))=1,CONCATENATE(H80," و "),CONCATENATE(H80,"، "))))</f>
        <v/>
      </c>
      <c r="BH80" s="2" t="str">
        <f>IF(OR(I80="",I80="-"),"",IF((COUNTA(BH81:BH$100)-COUNTBLANK(BH81:BH$100))=0,I80,IF((COUNTA(BH81:BH$100)-COUNTBLANK(BH81:BH$100))=1,CONCATENATE(I80," و "),CONCATENATE(I80,"، "))))</f>
        <v/>
      </c>
      <c r="BI80" s="2" t="str">
        <f>IF(OR(J80="",J80="-"),"",IF((COUNTA(BI81:BI$100)-COUNTBLANK(BI81:BI$100))=0,J80,IF((COUNTA(BI81:BI$100)-COUNTBLANK(BI81:BI$100))=1,CONCATENATE(J80," و "),CONCATENATE(J80,"، "))))</f>
        <v/>
      </c>
      <c r="BJ80" s="2" t="str">
        <f>IF(M80="","",IF((COUNTA(BJ81:$BJ$100)-COUNTBLANK(BJ81:$BJ$100)&gt;0),CONCATENATE(M80,CHAR(10)),M80))</f>
        <v/>
      </c>
      <c r="BK80" s="6"/>
      <c r="BL80" s="2"/>
      <c r="BM80" s="2"/>
      <c r="BN80" s="2"/>
      <c r="BO80" s="2"/>
    </row>
    <row r="81" spans="1:67" x14ac:dyDescent="0.3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13"/>
      <c r="Z81" s="2"/>
      <c r="AA81" s="2"/>
      <c r="AB81" s="2"/>
      <c r="AC81" s="2"/>
      <c r="AD81" s="2"/>
      <c r="AE81" s="2"/>
      <c r="AF81" s="2"/>
      <c r="BA81" s="2" t="str">
        <f>IF(OR(B81="",B81="-"),"",IF((COUNTA(BA82:BA$100)-COUNTBLANK(BA82:BA$100))=0,B81,IF((COUNTA(BA82:BA$100)-COUNTBLANK(BA82:BA$100))=1,CONCATENATE(B81," و "),CONCATENATE(B81,"، "))))</f>
        <v/>
      </c>
      <c r="BB81" s="2" t="str">
        <f>IF(OR(C81="",C81="-"),"",IF((COUNTA(BB82:BB$100)-COUNTBLANK(BB82:BB$100))=0,C81,IF((COUNTA(BB82:BB$100)-COUNTBLANK(BB82:BB$100))=1,CONCATENATE(C81," و "),CONCATENATE(C81,"، "))))</f>
        <v/>
      </c>
      <c r="BC81" s="2" t="str">
        <f>IF(OR(D81="",D81="-"),"",IF((COUNTA(BC82:BC$100)-COUNTBLANK(BC82:BC$100))=0,D81,IF((COUNTA(BC82:BC$100)-COUNTBLANK(BC82:BC$100))=1,CONCATENATE(D81," و "),CONCATENATE(D81,"، "))))</f>
        <v/>
      </c>
      <c r="BD81" s="2" t="str">
        <f>IF(OR(E81="",E81="-"),"",IF((COUNTA(BD82:BD$100)-COUNTBLANK(BD82:BD$100))=0,E81,IF((COUNTA(BD82:BD$100)-COUNTBLANK(BD82:BD$100))=1,CONCATENATE(E81," و "),CONCATENATE(E81,"، "))))</f>
        <v/>
      </c>
      <c r="BE81" s="2" t="str">
        <f>IF(OR(F81="",F81="-"),"",IF((COUNTA(BE82:BE$100)-COUNTBLANK(BE82:BE$100))=0,F81,IF((COUNTA(BE82:BE$100)-COUNTBLANK(BE82:BE$100))=1,CONCATENATE(F81," و "),CONCATENATE(F81,"، "))))</f>
        <v/>
      </c>
      <c r="BF81" s="2" t="str">
        <f>IF(OR(G81="",G81="-"),"",IF((COUNTA(BF82:BF$100)-COUNTBLANK(BF82:BF$100))=0,G81,IF((COUNTA(BF82:BF$100)-COUNTBLANK(BF82:BF$100))=1,CONCATENATE(G81," و "),CONCATENATE(G81,"، "))))</f>
        <v/>
      </c>
      <c r="BG81" s="2" t="str">
        <f>IF(OR(H81="",H81="-"),"",IF((COUNTA(BG82:BG$100)-COUNTBLANK(BG82:BG$100))=0,H81,IF((COUNTA(BG82:BG$100)-COUNTBLANK(BG82:BG$100))=1,CONCATENATE(H81," و "),CONCATENATE(H81,"، "))))</f>
        <v/>
      </c>
      <c r="BH81" s="2" t="str">
        <f>IF(OR(I81="",I81="-"),"",IF((COUNTA(BH82:BH$100)-COUNTBLANK(BH82:BH$100))=0,I81,IF((COUNTA(BH82:BH$100)-COUNTBLANK(BH82:BH$100))=1,CONCATENATE(I81," و "),CONCATENATE(I81,"، "))))</f>
        <v/>
      </c>
      <c r="BI81" s="2" t="str">
        <f>IF(OR(J81="",J81="-"),"",IF((COUNTA(BI82:BI$100)-COUNTBLANK(BI82:BI$100))=0,J81,IF((COUNTA(BI82:BI$100)-COUNTBLANK(BI82:BI$100))=1,CONCATENATE(J81," و "),CONCATENATE(J81,"، "))))</f>
        <v/>
      </c>
      <c r="BJ81" s="2" t="str">
        <f>IF(M81="","",IF((COUNTA(BJ82:$BJ$100)-COUNTBLANK(BJ82:$BJ$100)&gt;0),CONCATENATE(M81,CHAR(10)),M81))</f>
        <v/>
      </c>
      <c r="BK81" s="6"/>
      <c r="BL81" s="2"/>
      <c r="BM81" s="2"/>
      <c r="BN81" s="2"/>
      <c r="BO81" s="2"/>
    </row>
    <row r="82" spans="1:67" x14ac:dyDescent="0.3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13"/>
      <c r="Z82" s="2"/>
      <c r="AA82" s="2"/>
      <c r="AB82" s="2"/>
      <c r="AC82" s="2"/>
      <c r="AD82" s="2"/>
      <c r="AE82" s="2"/>
      <c r="AF82" s="2"/>
      <c r="BA82" s="2" t="str">
        <f>IF(OR(B82="",B82="-"),"",IF((COUNTA(BA83:BA$100)-COUNTBLANK(BA83:BA$100))=0,B82,IF((COUNTA(BA83:BA$100)-COUNTBLANK(BA83:BA$100))=1,CONCATENATE(B82," و "),CONCATENATE(B82,"، "))))</f>
        <v/>
      </c>
      <c r="BB82" s="2" t="str">
        <f>IF(OR(C82="",C82="-"),"",IF((COUNTA(BB83:BB$100)-COUNTBLANK(BB83:BB$100))=0,C82,IF((COUNTA(BB83:BB$100)-COUNTBLANK(BB83:BB$100))=1,CONCATENATE(C82," و "),CONCATENATE(C82,"، "))))</f>
        <v/>
      </c>
      <c r="BC82" s="2" t="str">
        <f>IF(OR(D82="",D82="-"),"",IF((COUNTA(BC83:BC$100)-COUNTBLANK(BC83:BC$100))=0,D82,IF((COUNTA(BC83:BC$100)-COUNTBLANK(BC83:BC$100))=1,CONCATENATE(D82," و "),CONCATENATE(D82,"، "))))</f>
        <v/>
      </c>
      <c r="BD82" s="2" t="str">
        <f>IF(OR(E82="",E82="-"),"",IF((COUNTA(BD83:BD$100)-COUNTBLANK(BD83:BD$100))=0,E82,IF((COUNTA(BD83:BD$100)-COUNTBLANK(BD83:BD$100))=1,CONCATENATE(E82," و "),CONCATENATE(E82,"، "))))</f>
        <v/>
      </c>
      <c r="BE82" s="2" t="str">
        <f>IF(OR(F82="",F82="-"),"",IF((COUNTA(BE83:BE$100)-COUNTBLANK(BE83:BE$100))=0,F82,IF((COUNTA(BE83:BE$100)-COUNTBLANK(BE83:BE$100))=1,CONCATENATE(F82," و "),CONCATENATE(F82,"، "))))</f>
        <v/>
      </c>
      <c r="BF82" s="2" t="str">
        <f>IF(OR(G82="",G82="-"),"",IF((COUNTA(BF83:BF$100)-COUNTBLANK(BF83:BF$100))=0,G82,IF((COUNTA(BF83:BF$100)-COUNTBLANK(BF83:BF$100))=1,CONCATENATE(G82," و "),CONCATENATE(G82,"، "))))</f>
        <v/>
      </c>
      <c r="BG82" s="2" t="str">
        <f>IF(OR(H82="",H82="-"),"",IF((COUNTA(BG83:BG$100)-COUNTBLANK(BG83:BG$100))=0,H82,IF((COUNTA(BG83:BG$100)-COUNTBLANK(BG83:BG$100))=1,CONCATENATE(H82," و "),CONCATENATE(H82,"، "))))</f>
        <v/>
      </c>
      <c r="BH82" s="2" t="str">
        <f>IF(OR(I82="",I82="-"),"",IF((COUNTA(BH83:BH$100)-COUNTBLANK(BH83:BH$100))=0,I82,IF((COUNTA(BH83:BH$100)-COUNTBLANK(BH83:BH$100))=1,CONCATENATE(I82," و "),CONCATENATE(I82,"، "))))</f>
        <v/>
      </c>
      <c r="BI82" s="2" t="str">
        <f>IF(OR(J82="",J82="-"),"",IF((COUNTA(BI83:BI$100)-COUNTBLANK(BI83:BI$100))=0,J82,IF((COUNTA(BI83:BI$100)-COUNTBLANK(BI83:BI$100))=1,CONCATENATE(J82," و "),CONCATENATE(J82,"، "))))</f>
        <v/>
      </c>
      <c r="BJ82" s="2" t="str">
        <f>IF(M82="","",IF((COUNTA(BJ83:$BJ$100)-COUNTBLANK(BJ83:$BJ$100)&gt;0),CONCATENATE(M82,CHAR(10)),M82))</f>
        <v/>
      </c>
      <c r="BK82" s="6"/>
      <c r="BL82" s="2"/>
      <c r="BM82" s="2"/>
      <c r="BN82" s="2"/>
      <c r="BO82" s="2"/>
    </row>
    <row r="83" spans="1:67" x14ac:dyDescent="0.3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13"/>
      <c r="Z83" s="2"/>
      <c r="AA83" s="2"/>
      <c r="AB83" s="2"/>
      <c r="AC83" s="2"/>
      <c r="AD83" s="2"/>
      <c r="AE83" s="2"/>
      <c r="AF83" s="2"/>
      <c r="BA83" s="2" t="str">
        <f>IF(OR(B83="",B83="-"),"",IF((COUNTA(BA84:BA$100)-COUNTBLANK(BA84:BA$100))=0,B83,IF((COUNTA(BA84:BA$100)-COUNTBLANK(BA84:BA$100))=1,CONCATENATE(B83," و "),CONCATENATE(B83,"، "))))</f>
        <v/>
      </c>
      <c r="BB83" s="2" t="str">
        <f>IF(OR(C83="",C83="-"),"",IF((COUNTA(BB84:BB$100)-COUNTBLANK(BB84:BB$100))=0,C83,IF((COUNTA(BB84:BB$100)-COUNTBLANK(BB84:BB$100))=1,CONCATENATE(C83," و "),CONCATENATE(C83,"، "))))</f>
        <v/>
      </c>
      <c r="BC83" s="2" t="str">
        <f>IF(OR(D83="",D83="-"),"",IF((COUNTA(BC84:BC$100)-COUNTBLANK(BC84:BC$100))=0,D83,IF((COUNTA(BC84:BC$100)-COUNTBLANK(BC84:BC$100))=1,CONCATENATE(D83," و "),CONCATENATE(D83,"، "))))</f>
        <v/>
      </c>
      <c r="BD83" s="2" t="str">
        <f>IF(OR(E83="",E83="-"),"",IF((COUNTA(BD84:BD$100)-COUNTBLANK(BD84:BD$100))=0,E83,IF((COUNTA(BD84:BD$100)-COUNTBLANK(BD84:BD$100))=1,CONCATENATE(E83," و "),CONCATENATE(E83,"، "))))</f>
        <v/>
      </c>
      <c r="BE83" s="2" t="str">
        <f>IF(OR(F83="",F83="-"),"",IF((COUNTA(BE84:BE$100)-COUNTBLANK(BE84:BE$100))=0,F83,IF((COUNTA(BE84:BE$100)-COUNTBLANK(BE84:BE$100))=1,CONCATENATE(F83," و "),CONCATENATE(F83,"، "))))</f>
        <v/>
      </c>
      <c r="BF83" s="2" t="str">
        <f>IF(OR(G83="",G83="-"),"",IF((COUNTA(BF84:BF$100)-COUNTBLANK(BF84:BF$100))=0,G83,IF((COUNTA(BF84:BF$100)-COUNTBLANK(BF84:BF$100))=1,CONCATENATE(G83," و "),CONCATENATE(G83,"، "))))</f>
        <v/>
      </c>
      <c r="BG83" s="2" t="str">
        <f>IF(OR(H83="",H83="-"),"",IF((COUNTA(BG84:BG$100)-COUNTBLANK(BG84:BG$100))=0,H83,IF((COUNTA(BG84:BG$100)-COUNTBLANK(BG84:BG$100))=1,CONCATENATE(H83," و "),CONCATENATE(H83,"، "))))</f>
        <v/>
      </c>
      <c r="BH83" s="2" t="str">
        <f>IF(OR(I83="",I83="-"),"",IF((COUNTA(BH84:BH$100)-COUNTBLANK(BH84:BH$100))=0,I83,IF((COUNTA(BH84:BH$100)-COUNTBLANK(BH84:BH$100))=1,CONCATENATE(I83," و "),CONCATENATE(I83,"، "))))</f>
        <v/>
      </c>
      <c r="BI83" s="2" t="str">
        <f>IF(OR(J83="",J83="-"),"",IF((COUNTA(BI84:BI$100)-COUNTBLANK(BI84:BI$100))=0,J83,IF((COUNTA(BI84:BI$100)-COUNTBLANK(BI84:BI$100))=1,CONCATENATE(J83," و "),CONCATENATE(J83,"، "))))</f>
        <v/>
      </c>
      <c r="BJ83" s="2" t="str">
        <f>IF(M83="","",IF((COUNTA(BJ84:$BJ$100)-COUNTBLANK(BJ84:$BJ$100)&gt;0),CONCATENATE(M83,CHAR(10)),M83))</f>
        <v/>
      </c>
      <c r="BK83" s="6"/>
      <c r="BL83" s="2"/>
      <c r="BM83" s="2"/>
      <c r="BN83" s="2"/>
      <c r="BO83" s="2"/>
    </row>
    <row r="84" spans="1:67" x14ac:dyDescent="0.3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13"/>
      <c r="Z84" s="2"/>
      <c r="AA84" s="2"/>
      <c r="AB84" s="2"/>
      <c r="AC84" s="2"/>
      <c r="AD84" s="2"/>
      <c r="AE84" s="2"/>
      <c r="AF84" s="2"/>
      <c r="BA84" s="2" t="str">
        <f>IF(OR(B84="",B84="-"),"",IF((COUNTA(BA85:BA$100)-COUNTBLANK(BA85:BA$100))=0,B84,IF((COUNTA(BA85:BA$100)-COUNTBLANK(BA85:BA$100))=1,CONCATENATE(B84," و "),CONCATENATE(B84,"، "))))</f>
        <v/>
      </c>
      <c r="BB84" s="2" t="str">
        <f>IF(OR(C84="",C84="-"),"",IF((COUNTA(BB85:BB$100)-COUNTBLANK(BB85:BB$100))=0,C84,IF((COUNTA(BB85:BB$100)-COUNTBLANK(BB85:BB$100))=1,CONCATENATE(C84," و "),CONCATENATE(C84,"، "))))</f>
        <v/>
      </c>
      <c r="BC84" s="2" t="str">
        <f>IF(OR(D84="",D84="-"),"",IF((COUNTA(BC85:BC$100)-COUNTBLANK(BC85:BC$100))=0,D84,IF((COUNTA(BC85:BC$100)-COUNTBLANK(BC85:BC$100))=1,CONCATENATE(D84," و "),CONCATENATE(D84,"، "))))</f>
        <v/>
      </c>
      <c r="BD84" s="2" t="str">
        <f>IF(OR(E84="",E84="-"),"",IF((COUNTA(BD85:BD$100)-COUNTBLANK(BD85:BD$100))=0,E84,IF((COUNTA(BD85:BD$100)-COUNTBLANK(BD85:BD$100))=1,CONCATENATE(E84," و "),CONCATENATE(E84,"، "))))</f>
        <v/>
      </c>
      <c r="BE84" s="2" t="str">
        <f>IF(OR(F84="",F84="-"),"",IF((COUNTA(BE85:BE$100)-COUNTBLANK(BE85:BE$100))=0,F84,IF((COUNTA(BE85:BE$100)-COUNTBLANK(BE85:BE$100))=1,CONCATENATE(F84," و "),CONCATENATE(F84,"، "))))</f>
        <v/>
      </c>
      <c r="BF84" s="2" t="str">
        <f>IF(OR(G84="",G84="-"),"",IF((COUNTA(BF85:BF$100)-COUNTBLANK(BF85:BF$100))=0,G84,IF((COUNTA(BF85:BF$100)-COUNTBLANK(BF85:BF$100))=1,CONCATENATE(G84," و "),CONCATENATE(G84,"، "))))</f>
        <v/>
      </c>
      <c r="BG84" s="2" t="str">
        <f>IF(OR(H84="",H84="-"),"",IF((COUNTA(BG85:BG$100)-COUNTBLANK(BG85:BG$100))=0,H84,IF((COUNTA(BG85:BG$100)-COUNTBLANK(BG85:BG$100))=1,CONCATENATE(H84," و "),CONCATENATE(H84,"، "))))</f>
        <v/>
      </c>
      <c r="BH84" s="2" t="str">
        <f>IF(OR(I84="",I84="-"),"",IF((COUNTA(BH85:BH$100)-COUNTBLANK(BH85:BH$100))=0,I84,IF((COUNTA(BH85:BH$100)-COUNTBLANK(BH85:BH$100))=1,CONCATENATE(I84," و "),CONCATENATE(I84,"، "))))</f>
        <v/>
      </c>
      <c r="BI84" s="2" t="str">
        <f>IF(OR(J84="",J84="-"),"",IF((COUNTA(BI85:BI$100)-COUNTBLANK(BI85:BI$100))=0,J84,IF((COUNTA(BI85:BI$100)-COUNTBLANK(BI85:BI$100))=1,CONCATENATE(J84," و "),CONCATENATE(J84,"، "))))</f>
        <v/>
      </c>
      <c r="BJ84" s="2" t="str">
        <f>IF(M84="","",IF((COUNTA(BJ85:$BJ$100)-COUNTBLANK(BJ85:$BJ$100)&gt;0),CONCATENATE(M84,CHAR(10)),M84))</f>
        <v/>
      </c>
      <c r="BK84" s="6"/>
      <c r="BL84" s="2"/>
      <c r="BM84" s="2"/>
      <c r="BN84" s="2"/>
      <c r="BO84" s="2"/>
    </row>
    <row r="85" spans="1:67" x14ac:dyDescent="0.3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13"/>
      <c r="Z85" s="2"/>
      <c r="AA85" s="2"/>
      <c r="AB85" s="2"/>
      <c r="AC85" s="2"/>
      <c r="AD85" s="2"/>
      <c r="AE85" s="2"/>
      <c r="AF85" s="2"/>
      <c r="BA85" s="2" t="str">
        <f>IF(OR(B85="",B85="-"),"",IF((COUNTA(BA86:BA$100)-COUNTBLANK(BA86:BA$100))=0,B85,IF((COUNTA(BA86:BA$100)-COUNTBLANK(BA86:BA$100))=1,CONCATENATE(B85," و "),CONCATENATE(B85,"، "))))</f>
        <v/>
      </c>
      <c r="BB85" s="2" t="str">
        <f>IF(OR(C85="",C85="-"),"",IF((COUNTA(BB86:BB$100)-COUNTBLANK(BB86:BB$100))=0,C85,IF((COUNTA(BB86:BB$100)-COUNTBLANK(BB86:BB$100))=1,CONCATENATE(C85," و "),CONCATENATE(C85,"، "))))</f>
        <v/>
      </c>
      <c r="BC85" s="2" t="str">
        <f>IF(OR(D85="",D85="-"),"",IF((COUNTA(BC86:BC$100)-COUNTBLANK(BC86:BC$100))=0,D85,IF((COUNTA(BC86:BC$100)-COUNTBLANK(BC86:BC$100))=1,CONCATENATE(D85," و "),CONCATENATE(D85,"، "))))</f>
        <v/>
      </c>
      <c r="BD85" s="2" t="str">
        <f>IF(OR(E85="",E85="-"),"",IF((COUNTA(BD86:BD$100)-COUNTBLANK(BD86:BD$100))=0,E85,IF((COUNTA(BD86:BD$100)-COUNTBLANK(BD86:BD$100))=1,CONCATENATE(E85," و "),CONCATENATE(E85,"، "))))</f>
        <v/>
      </c>
      <c r="BE85" s="2" t="str">
        <f>IF(OR(F85="",F85="-"),"",IF((COUNTA(BE86:BE$100)-COUNTBLANK(BE86:BE$100))=0,F85,IF((COUNTA(BE86:BE$100)-COUNTBLANK(BE86:BE$100))=1,CONCATENATE(F85," و "),CONCATENATE(F85,"، "))))</f>
        <v/>
      </c>
      <c r="BF85" s="2" t="str">
        <f>IF(OR(G85="",G85="-"),"",IF((COUNTA(BF86:BF$100)-COUNTBLANK(BF86:BF$100))=0,G85,IF((COUNTA(BF86:BF$100)-COUNTBLANK(BF86:BF$100))=1,CONCATENATE(G85," و "),CONCATENATE(G85,"، "))))</f>
        <v/>
      </c>
      <c r="BG85" s="2" t="str">
        <f>IF(OR(H85="",H85="-"),"",IF((COUNTA(BG86:BG$100)-COUNTBLANK(BG86:BG$100))=0,H85,IF((COUNTA(BG86:BG$100)-COUNTBLANK(BG86:BG$100))=1,CONCATENATE(H85," و "),CONCATENATE(H85,"، "))))</f>
        <v/>
      </c>
      <c r="BH85" s="2" t="str">
        <f>IF(OR(I85="",I85="-"),"",IF((COUNTA(BH86:BH$100)-COUNTBLANK(BH86:BH$100))=0,I85,IF((COUNTA(BH86:BH$100)-COUNTBLANK(BH86:BH$100))=1,CONCATENATE(I85," و "),CONCATENATE(I85,"، "))))</f>
        <v/>
      </c>
      <c r="BI85" s="2" t="str">
        <f>IF(OR(J85="",J85="-"),"",IF((COUNTA(BI86:BI$100)-COUNTBLANK(BI86:BI$100))=0,J85,IF((COUNTA(BI86:BI$100)-COUNTBLANK(BI86:BI$100))=1,CONCATENATE(J85," و "),CONCATENATE(J85,"، "))))</f>
        <v/>
      </c>
      <c r="BJ85" s="2" t="str">
        <f>IF(M85="","",IF((COUNTA(BJ86:$BJ$100)-COUNTBLANK(BJ86:$BJ$100)&gt;0),CONCATENATE(M85,CHAR(10)),M85))</f>
        <v/>
      </c>
      <c r="BK85" s="6"/>
      <c r="BL85" s="2"/>
      <c r="BM85" s="2"/>
      <c r="BN85" s="2"/>
      <c r="BO85" s="2"/>
    </row>
    <row r="86" spans="1:67" x14ac:dyDescent="0.3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13"/>
      <c r="Z86" s="2"/>
      <c r="AA86" s="2"/>
      <c r="AB86" s="2"/>
      <c r="AC86" s="2"/>
      <c r="AD86" s="2"/>
      <c r="AE86" s="2"/>
      <c r="AF86" s="2"/>
      <c r="BA86" s="2" t="str">
        <f>IF(OR(B86="",B86="-"),"",IF((COUNTA(BA87:BA$100)-COUNTBLANK(BA87:BA$100))=0,B86,IF((COUNTA(BA87:BA$100)-COUNTBLANK(BA87:BA$100))=1,CONCATENATE(B86," و "),CONCATENATE(B86,"، "))))</f>
        <v/>
      </c>
      <c r="BB86" s="2" t="str">
        <f>IF(OR(C86="",C86="-"),"",IF((COUNTA(BB87:BB$100)-COUNTBLANK(BB87:BB$100))=0,C86,IF((COUNTA(BB87:BB$100)-COUNTBLANK(BB87:BB$100))=1,CONCATENATE(C86," و "),CONCATENATE(C86,"، "))))</f>
        <v/>
      </c>
      <c r="BC86" s="2" t="str">
        <f>IF(OR(D86="",D86="-"),"",IF((COUNTA(BC87:BC$100)-COUNTBLANK(BC87:BC$100))=0,D86,IF((COUNTA(BC87:BC$100)-COUNTBLANK(BC87:BC$100))=1,CONCATENATE(D86," و "),CONCATENATE(D86,"، "))))</f>
        <v/>
      </c>
      <c r="BD86" s="2" t="str">
        <f>IF(OR(E86="",E86="-"),"",IF((COUNTA(BD87:BD$100)-COUNTBLANK(BD87:BD$100))=0,E86,IF((COUNTA(BD87:BD$100)-COUNTBLANK(BD87:BD$100))=1,CONCATENATE(E86," و "),CONCATENATE(E86,"، "))))</f>
        <v/>
      </c>
      <c r="BE86" s="2" t="str">
        <f>IF(OR(F86="",F86="-"),"",IF((COUNTA(BE87:BE$100)-COUNTBLANK(BE87:BE$100))=0,F86,IF((COUNTA(BE87:BE$100)-COUNTBLANK(BE87:BE$100))=1,CONCATENATE(F86," و "),CONCATENATE(F86,"، "))))</f>
        <v/>
      </c>
      <c r="BF86" s="2" t="str">
        <f>IF(OR(G86="",G86="-"),"",IF((COUNTA(BF87:BF$100)-COUNTBLANK(BF87:BF$100))=0,G86,IF((COUNTA(BF87:BF$100)-COUNTBLANK(BF87:BF$100))=1,CONCATENATE(G86," و "),CONCATENATE(G86,"، "))))</f>
        <v/>
      </c>
      <c r="BG86" s="2" t="str">
        <f>IF(OR(H86="",H86="-"),"",IF((COUNTA(BG87:BG$100)-COUNTBLANK(BG87:BG$100))=0,H86,IF((COUNTA(BG87:BG$100)-COUNTBLANK(BG87:BG$100))=1,CONCATENATE(H86," و "),CONCATENATE(H86,"، "))))</f>
        <v/>
      </c>
      <c r="BH86" s="2" t="str">
        <f>IF(OR(I86="",I86="-"),"",IF((COUNTA(BH87:BH$100)-COUNTBLANK(BH87:BH$100))=0,I86,IF((COUNTA(BH87:BH$100)-COUNTBLANK(BH87:BH$100))=1,CONCATENATE(I86," و "),CONCATENATE(I86,"، "))))</f>
        <v/>
      </c>
      <c r="BI86" s="2" t="str">
        <f>IF(OR(J86="",J86="-"),"",IF((COUNTA(BI87:BI$100)-COUNTBLANK(BI87:BI$100))=0,J86,IF((COUNTA(BI87:BI$100)-COUNTBLANK(BI87:BI$100))=1,CONCATENATE(J86," و "),CONCATENATE(J86,"، "))))</f>
        <v/>
      </c>
      <c r="BJ86" s="2" t="str">
        <f>IF(M86="","",IF((COUNTA(BJ87:$BJ$100)-COUNTBLANK(BJ87:$BJ$100)&gt;0),CONCATENATE(M86,CHAR(10)),M86))</f>
        <v/>
      </c>
      <c r="BK86" s="6"/>
      <c r="BL86" s="2"/>
      <c r="BM86" s="2"/>
      <c r="BN86" s="2"/>
      <c r="BO86" s="2"/>
    </row>
    <row r="87" spans="1:67" x14ac:dyDescent="0.3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13"/>
      <c r="Z87" s="2"/>
      <c r="AA87" s="2"/>
      <c r="AB87" s="2"/>
      <c r="AC87" s="2"/>
      <c r="AD87" s="2"/>
      <c r="AE87" s="2"/>
      <c r="AF87" s="2"/>
      <c r="BA87" s="2" t="str">
        <f>IF(OR(B87="",B87="-"),"",IF((COUNTA(BA88:BA$100)-COUNTBLANK(BA88:BA$100))=0,B87,IF((COUNTA(BA88:BA$100)-COUNTBLANK(BA88:BA$100))=1,CONCATENATE(B87," و "),CONCATENATE(B87,"، "))))</f>
        <v/>
      </c>
      <c r="BB87" s="2" t="str">
        <f>IF(OR(C87="",C87="-"),"",IF((COUNTA(BB88:BB$100)-COUNTBLANK(BB88:BB$100))=0,C87,IF((COUNTA(BB88:BB$100)-COUNTBLANK(BB88:BB$100))=1,CONCATENATE(C87," و "),CONCATENATE(C87,"، "))))</f>
        <v/>
      </c>
      <c r="BC87" s="2" t="str">
        <f>IF(OR(D87="",D87="-"),"",IF((COUNTA(BC88:BC$100)-COUNTBLANK(BC88:BC$100))=0,D87,IF((COUNTA(BC88:BC$100)-COUNTBLANK(BC88:BC$100))=1,CONCATENATE(D87," و "),CONCATENATE(D87,"، "))))</f>
        <v/>
      </c>
      <c r="BD87" s="2" t="str">
        <f>IF(OR(E87="",E87="-"),"",IF((COUNTA(BD88:BD$100)-COUNTBLANK(BD88:BD$100))=0,E87,IF((COUNTA(BD88:BD$100)-COUNTBLANK(BD88:BD$100))=1,CONCATENATE(E87," و "),CONCATENATE(E87,"، "))))</f>
        <v/>
      </c>
      <c r="BE87" s="2" t="str">
        <f>IF(OR(F87="",F87="-"),"",IF((COUNTA(BE88:BE$100)-COUNTBLANK(BE88:BE$100))=0,F87,IF((COUNTA(BE88:BE$100)-COUNTBLANK(BE88:BE$100))=1,CONCATENATE(F87," و "),CONCATENATE(F87,"، "))))</f>
        <v/>
      </c>
      <c r="BF87" s="2" t="str">
        <f>IF(OR(G87="",G87="-"),"",IF((COUNTA(BF88:BF$100)-COUNTBLANK(BF88:BF$100))=0,G87,IF((COUNTA(BF88:BF$100)-COUNTBLANK(BF88:BF$100))=1,CONCATENATE(G87," و "),CONCATENATE(G87,"، "))))</f>
        <v/>
      </c>
      <c r="BG87" s="2" t="str">
        <f>IF(OR(H87="",H87="-"),"",IF((COUNTA(BG88:BG$100)-COUNTBLANK(BG88:BG$100))=0,H87,IF((COUNTA(BG88:BG$100)-COUNTBLANK(BG88:BG$100))=1,CONCATENATE(H87," و "),CONCATENATE(H87,"، "))))</f>
        <v/>
      </c>
      <c r="BH87" s="2" t="str">
        <f>IF(OR(I87="",I87="-"),"",IF((COUNTA(BH88:BH$100)-COUNTBLANK(BH88:BH$100))=0,I87,IF((COUNTA(BH88:BH$100)-COUNTBLANK(BH88:BH$100))=1,CONCATENATE(I87," و "),CONCATENATE(I87,"، "))))</f>
        <v/>
      </c>
      <c r="BI87" s="2" t="str">
        <f>IF(OR(J87="",J87="-"),"",IF((COUNTA(BI88:BI$100)-COUNTBLANK(BI88:BI$100))=0,J87,IF((COUNTA(BI88:BI$100)-COUNTBLANK(BI88:BI$100))=1,CONCATENATE(J87," و "),CONCATENATE(J87,"، "))))</f>
        <v/>
      </c>
      <c r="BJ87" s="2" t="str">
        <f>IF(M87="","",IF((COUNTA(BJ88:$BJ$100)-COUNTBLANK(BJ88:$BJ$100)&gt;0),CONCATENATE(M87,CHAR(10)),M87))</f>
        <v/>
      </c>
      <c r="BK87" s="6"/>
      <c r="BL87" s="2"/>
      <c r="BM87" s="2"/>
      <c r="BN87" s="2"/>
      <c r="BO87" s="2"/>
    </row>
    <row r="88" spans="1:67" x14ac:dyDescent="0.3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13"/>
      <c r="Z88" s="2"/>
      <c r="AA88" s="2"/>
      <c r="AB88" s="2"/>
      <c r="AC88" s="2"/>
      <c r="AD88" s="2"/>
      <c r="AE88" s="2"/>
      <c r="AF88" s="2"/>
      <c r="BA88" s="2" t="str">
        <f>IF(OR(B88="",B88="-"),"",IF((COUNTA(BA89:BA$100)-COUNTBLANK(BA89:BA$100))=0,B88,IF((COUNTA(BA89:BA$100)-COUNTBLANK(BA89:BA$100))=1,CONCATENATE(B88," و "),CONCATENATE(B88,"، "))))</f>
        <v/>
      </c>
      <c r="BB88" s="2" t="str">
        <f>IF(OR(C88="",C88="-"),"",IF((COUNTA(BB89:BB$100)-COUNTBLANK(BB89:BB$100))=0,C88,IF((COUNTA(BB89:BB$100)-COUNTBLANK(BB89:BB$100))=1,CONCATENATE(C88," و "),CONCATENATE(C88,"، "))))</f>
        <v/>
      </c>
      <c r="BC88" s="2" t="str">
        <f>IF(OR(D88="",D88="-"),"",IF((COUNTA(BC89:BC$100)-COUNTBLANK(BC89:BC$100))=0,D88,IF((COUNTA(BC89:BC$100)-COUNTBLANK(BC89:BC$100))=1,CONCATENATE(D88," و "),CONCATENATE(D88,"، "))))</f>
        <v/>
      </c>
      <c r="BD88" s="2" t="str">
        <f>IF(OR(E88="",E88="-"),"",IF((COUNTA(BD89:BD$100)-COUNTBLANK(BD89:BD$100))=0,E88,IF((COUNTA(BD89:BD$100)-COUNTBLANK(BD89:BD$100))=1,CONCATENATE(E88," و "),CONCATENATE(E88,"، "))))</f>
        <v/>
      </c>
      <c r="BE88" s="2" t="str">
        <f>IF(OR(F88="",F88="-"),"",IF((COUNTA(BE89:BE$100)-COUNTBLANK(BE89:BE$100))=0,F88,IF((COUNTA(BE89:BE$100)-COUNTBLANK(BE89:BE$100))=1,CONCATENATE(F88," و "),CONCATENATE(F88,"، "))))</f>
        <v/>
      </c>
      <c r="BF88" s="2" t="str">
        <f>IF(OR(G88="",G88="-"),"",IF((COUNTA(BF89:BF$100)-COUNTBLANK(BF89:BF$100))=0,G88,IF((COUNTA(BF89:BF$100)-COUNTBLANK(BF89:BF$100))=1,CONCATENATE(G88," و "),CONCATENATE(G88,"، "))))</f>
        <v/>
      </c>
      <c r="BG88" s="2" t="str">
        <f>IF(OR(H88="",H88="-"),"",IF((COUNTA(BG89:BG$100)-COUNTBLANK(BG89:BG$100))=0,H88,IF((COUNTA(BG89:BG$100)-COUNTBLANK(BG89:BG$100))=1,CONCATENATE(H88," و "),CONCATENATE(H88,"، "))))</f>
        <v/>
      </c>
      <c r="BH88" s="2" t="str">
        <f>IF(OR(I88="",I88="-"),"",IF((COUNTA(BH89:BH$100)-COUNTBLANK(BH89:BH$100))=0,I88,IF((COUNTA(BH89:BH$100)-COUNTBLANK(BH89:BH$100))=1,CONCATENATE(I88," و "),CONCATENATE(I88,"، "))))</f>
        <v/>
      </c>
      <c r="BI88" s="2" t="str">
        <f>IF(OR(J88="",J88="-"),"",IF((COUNTA(BI89:BI$100)-COUNTBLANK(BI89:BI$100))=0,J88,IF((COUNTA(BI89:BI$100)-COUNTBLANK(BI89:BI$100))=1,CONCATENATE(J88," و "),CONCATENATE(J88,"، "))))</f>
        <v/>
      </c>
      <c r="BJ88" s="2" t="str">
        <f>IF(M88="","",IF((COUNTA(BJ89:$BJ$100)-COUNTBLANK(BJ89:$BJ$100)&gt;0),CONCATENATE(M88,CHAR(10)),M88))</f>
        <v/>
      </c>
      <c r="BK88" s="6"/>
      <c r="BL88" s="2"/>
      <c r="BM88" s="2"/>
      <c r="BN88" s="2"/>
      <c r="BO88" s="2"/>
    </row>
    <row r="89" spans="1:67" x14ac:dyDescent="0.3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13"/>
      <c r="Z89" s="2"/>
      <c r="AA89" s="2"/>
      <c r="AB89" s="2"/>
      <c r="AC89" s="2"/>
      <c r="AD89" s="2"/>
      <c r="AE89" s="2"/>
      <c r="AF89" s="2"/>
      <c r="BA89" s="2" t="str">
        <f>IF(OR(B89="",B89="-"),"",IF((COUNTA(BA90:BA$100)-COUNTBLANK(BA90:BA$100))=0,B89,IF((COUNTA(BA90:BA$100)-COUNTBLANK(BA90:BA$100))=1,CONCATENATE(B89," و "),CONCATENATE(B89,"، "))))</f>
        <v/>
      </c>
      <c r="BB89" s="2" t="str">
        <f>IF(OR(C89="",C89="-"),"",IF((COUNTA(BB90:BB$100)-COUNTBLANK(BB90:BB$100))=0,C89,IF((COUNTA(BB90:BB$100)-COUNTBLANK(BB90:BB$100))=1,CONCATENATE(C89," و "),CONCATENATE(C89,"، "))))</f>
        <v/>
      </c>
      <c r="BC89" s="2" t="str">
        <f>IF(OR(D89="",D89="-"),"",IF((COUNTA(BC90:BC$100)-COUNTBLANK(BC90:BC$100))=0,D89,IF((COUNTA(BC90:BC$100)-COUNTBLANK(BC90:BC$100))=1,CONCATENATE(D89," و "),CONCATENATE(D89,"، "))))</f>
        <v/>
      </c>
      <c r="BD89" s="2" t="str">
        <f>IF(OR(E89="",E89="-"),"",IF((COUNTA(BD90:BD$100)-COUNTBLANK(BD90:BD$100))=0,E89,IF((COUNTA(BD90:BD$100)-COUNTBLANK(BD90:BD$100))=1,CONCATENATE(E89," و "),CONCATENATE(E89,"، "))))</f>
        <v/>
      </c>
      <c r="BE89" s="2" t="str">
        <f>IF(OR(F89="",F89="-"),"",IF((COUNTA(BE90:BE$100)-COUNTBLANK(BE90:BE$100))=0,F89,IF((COUNTA(BE90:BE$100)-COUNTBLANK(BE90:BE$100))=1,CONCATENATE(F89," و "),CONCATENATE(F89,"، "))))</f>
        <v/>
      </c>
      <c r="BF89" s="2" t="str">
        <f>IF(OR(G89="",G89="-"),"",IF((COUNTA(BF90:BF$100)-COUNTBLANK(BF90:BF$100))=0,G89,IF((COUNTA(BF90:BF$100)-COUNTBLANK(BF90:BF$100))=1,CONCATENATE(G89," و "),CONCATENATE(G89,"، "))))</f>
        <v/>
      </c>
      <c r="BG89" s="2" t="str">
        <f>IF(OR(H89="",H89="-"),"",IF((COUNTA(BG90:BG$100)-COUNTBLANK(BG90:BG$100))=0,H89,IF((COUNTA(BG90:BG$100)-COUNTBLANK(BG90:BG$100))=1,CONCATENATE(H89," و "),CONCATENATE(H89,"، "))))</f>
        <v/>
      </c>
      <c r="BH89" s="2" t="str">
        <f>IF(OR(I89="",I89="-"),"",IF((COUNTA(BH90:BH$100)-COUNTBLANK(BH90:BH$100))=0,I89,IF((COUNTA(BH90:BH$100)-COUNTBLANK(BH90:BH$100))=1,CONCATENATE(I89," و "),CONCATENATE(I89,"، "))))</f>
        <v/>
      </c>
      <c r="BI89" s="2" t="str">
        <f>IF(OR(J89="",J89="-"),"",IF((COUNTA(BI90:BI$100)-COUNTBLANK(BI90:BI$100))=0,J89,IF((COUNTA(BI90:BI$100)-COUNTBLANK(BI90:BI$100))=1,CONCATENATE(J89," و "),CONCATENATE(J89,"، "))))</f>
        <v/>
      </c>
      <c r="BJ89" s="2" t="str">
        <f>IF(M89="","",IF((COUNTA(BJ90:$BJ$100)-COUNTBLANK(BJ90:$BJ$100)&gt;0),CONCATENATE(M89,CHAR(10)),M89))</f>
        <v/>
      </c>
      <c r="BK89" s="6"/>
      <c r="BL89" s="2"/>
      <c r="BM89" s="2"/>
      <c r="BN89" s="2"/>
      <c r="BO89" s="2"/>
    </row>
    <row r="90" spans="1:67" x14ac:dyDescent="0.3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13"/>
      <c r="Z90" s="2"/>
      <c r="AA90" s="2"/>
      <c r="AB90" s="2"/>
      <c r="AC90" s="2"/>
      <c r="AD90" s="2"/>
      <c r="AE90" s="2"/>
      <c r="AF90" s="2"/>
      <c r="BA90" s="2" t="str">
        <f>IF(OR(B90="",B90="-"),"",IF((COUNTA(BA91:BA$100)-COUNTBLANK(BA91:BA$100))=0,B90,IF((COUNTA(BA91:BA$100)-COUNTBLANK(BA91:BA$100))=1,CONCATENATE(B90," و "),CONCATENATE(B90,"، "))))</f>
        <v/>
      </c>
      <c r="BB90" s="2" t="str">
        <f>IF(OR(C90="",C90="-"),"",IF((COUNTA(BB91:BB$100)-COUNTBLANK(BB91:BB$100))=0,C90,IF((COUNTA(BB91:BB$100)-COUNTBLANK(BB91:BB$100))=1,CONCATENATE(C90," و "),CONCATENATE(C90,"، "))))</f>
        <v/>
      </c>
      <c r="BC90" s="2" t="str">
        <f>IF(OR(D90="",D90="-"),"",IF((COUNTA(BC91:BC$100)-COUNTBLANK(BC91:BC$100))=0,D90,IF((COUNTA(BC91:BC$100)-COUNTBLANK(BC91:BC$100))=1,CONCATENATE(D90," و "),CONCATENATE(D90,"، "))))</f>
        <v/>
      </c>
      <c r="BD90" s="2" t="str">
        <f>IF(OR(E90="",E90="-"),"",IF((COUNTA(BD91:BD$100)-COUNTBLANK(BD91:BD$100))=0,E90,IF((COUNTA(BD91:BD$100)-COUNTBLANK(BD91:BD$100))=1,CONCATENATE(E90," و "),CONCATENATE(E90,"، "))))</f>
        <v/>
      </c>
      <c r="BE90" s="2" t="str">
        <f>IF(OR(F90="",F90="-"),"",IF((COUNTA(BE91:BE$100)-COUNTBLANK(BE91:BE$100))=0,F90,IF((COUNTA(BE91:BE$100)-COUNTBLANK(BE91:BE$100))=1,CONCATENATE(F90," و "),CONCATENATE(F90,"، "))))</f>
        <v/>
      </c>
      <c r="BF90" s="2" t="str">
        <f>IF(OR(G90="",G90="-"),"",IF((COUNTA(BF91:BF$100)-COUNTBLANK(BF91:BF$100))=0,G90,IF((COUNTA(BF91:BF$100)-COUNTBLANK(BF91:BF$100))=1,CONCATENATE(G90," و "),CONCATENATE(G90,"، "))))</f>
        <v/>
      </c>
      <c r="BG90" s="2" t="str">
        <f>IF(OR(H90="",H90="-"),"",IF((COUNTA(BG91:BG$100)-COUNTBLANK(BG91:BG$100))=0,H90,IF((COUNTA(BG91:BG$100)-COUNTBLANK(BG91:BG$100))=1,CONCATENATE(H90," و "),CONCATENATE(H90,"، "))))</f>
        <v/>
      </c>
      <c r="BH90" s="2" t="str">
        <f>IF(OR(I90="",I90="-"),"",IF((COUNTA(BH91:BH$100)-COUNTBLANK(BH91:BH$100))=0,I90,IF((COUNTA(BH91:BH$100)-COUNTBLANK(BH91:BH$100))=1,CONCATENATE(I90," و "),CONCATENATE(I90,"، "))))</f>
        <v/>
      </c>
      <c r="BI90" s="2" t="str">
        <f>IF(OR(J90="",J90="-"),"",IF((COUNTA(BI91:BI$100)-COUNTBLANK(BI91:BI$100))=0,J90,IF((COUNTA(BI91:BI$100)-COUNTBLANK(BI91:BI$100))=1,CONCATENATE(J90," و "),CONCATENATE(J90,"، "))))</f>
        <v/>
      </c>
      <c r="BJ90" s="2" t="str">
        <f>IF(M90="","",IF((COUNTA(BJ91:$BJ$100)-COUNTBLANK(BJ91:$BJ$100)&gt;0),CONCATENATE(M90,CHAR(10)),M90))</f>
        <v/>
      </c>
      <c r="BK90" s="6"/>
      <c r="BL90" s="2"/>
      <c r="BM90" s="2"/>
      <c r="BN90" s="2"/>
      <c r="BO90" s="2"/>
    </row>
    <row r="91" spans="1:67" x14ac:dyDescent="0.3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13"/>
      <c r="Z91" s="2"/>
      <c r="AA91" s="2"/>
      <c r="AB91" s="2"/>
      <c r="AC91" s="2"/>
      <c r="AD91" s="2"/>
      <c r="AE91" s="2"/>
      <c r="AF91" s="2"/>
      <c r="BA91" s="2" t="str">
        <f>IF(OR(B91="",B91="-"),"",IF((COUNTA(BA92:BA$100)-COUNTBLANK(BA92:BA$100))=0,B91,IF((COUNTA(BA92:BA$100)-COUNTBLANK(BA92:BA$100))=1,CONCATENATE(B91," و "),CONCATENATE(B91,"، "))))</f>
        <v/>
      </c>
      <c r="BB91" s="2" t="str">
        <f>IF(OR(C91="",C91="-"),"",IF((COUNTA(BB92:BB$100)-COUNTBLANK(BB92:BB$100))=0,C91,IF((COUNTA(BB92:BB$100)-COUNTBLANK(BB92:BB$100))=1,CONCATENATE(C91," و "),CONCATENATE(C91,"، "))))</f>
        <v/>
      </c>
      <c r="BC91" s="2" t="str">
        <f>IF(OR(D91="",D91="-"),"",IF((COUNTA(BC92:BC$100)-COUNTBLANK(BC92:BC$100))=0,D91,IF((COUNTA(BC92:BC$100)-COUNTBLANK(BC92:BC$100))=1,CONCATENATE(D91," و "),CONCATENATE(D91,"، "))))</f>
        <v/>
      </c>
      <c r="BD91" s="2" t="str">
        <f>IF(OR(E91="",E91="-"),"",IF((COUNTA(BD92:BD$100)-COUNTBLANK(BD92:BD$100))=0,E91,IF((COUNTA(BD92:BD$100)-COUNTBLANK(BD92:BD$100))=1,CONCATENATE(E91," و "),CONCATENATE(E91,"، "))))</f>
        <v/>
      </c>
      <c r="BE91" s="2" t="str">
        <f>IF(OR(F91="",F91="-"),"",IF((COUNTA(BE92:BE$100)-COUNTBLANK(BE92:BE$100))=0,F91,IF((COUNTA(BE92:BE$100)-COUNTBLANK(BE92:BE$100))=1,CONCATENATE(F91," و "),CONCATENATE(F91,"، "))))</f>
        <v/>
      </c>
      <c r="BF91" s="2" t="str">
        <f>IF(OR(G91="",G91="-"),"",IF((COUNTA(BF92:BF$100)-COUNTBLANK(BF92:BF$100))=0,G91,IF((COUNTA(BF92:BF$100)-COUNTBLANK(BF92:BF$100))=1,CONCATENATE(G91," و "),CONCATENATE(G91,"، "))))</f>
        <v/>
      </c>
      <c r="BG91" s="2" t="str">
        <f>IF(OR(H91="",H91="-"),"",IF((COUNTA(BG92:BG$100)-COUNTBLANK(BG92:BG$100))=0,H91,IF((COUNTA(BG92:BG$100)-COUNTBLANK(BG92:BG$100))=1,CONCATENATE(H91," و "),CONCATENATE(H91,"، "))))</f>
        <v/>
      </c>
      <c r="BH91" s="2" t="str">
        <f>IF(OR(I91="",I91="-"),"",IF((COUNTA(BH92:BH$100)-COUNTBLANK(BH92:BH$100))=0,I91,IF((COUNTA(BH92:BH$100)-COUNTBLANK(BH92:BH$100))=1,CONCATENATE(I91," و "),CONCATENATE(I91,"، "))))</f>
        <v/>
      </c>
      <c r="BI91" s="2" t="str">
        <f>IF(OR(J91="",J91="-"),"",IF((COUNTA(BI92:BI$100)-COUNTBLANK(BI92:BI$100))=0,J91,IF((COUNTA(BI92:BI$100)-COUNTBLANK(BI92:BI$100))=1,CONCATENATE(J91," و "),CONCATENATE(J91,"، "))))</f>
        <v/>
      </c>
      <c r="BJ91" s="2" t="str">
        <f>IF(M91="","",IF((COUNTA(BJ92:$BJ$100)-COUNTBLANK(BJ92:$BJ$100)&gt;0),CONCATENATE(M91,CHAR(10)),M91))</f>
        <v/>
      </c>
      <c r="BK91" s="6"/>
      <c r="BL91" s="2"/>
      <c r="BM91" s="2"/>
      <c r="BN91" s="2"/>
      <c r="BO91" s="2"/>
    </row>
    <row r="92" spans="1:67" x14ac:dyDescent="0.3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13"/>
      <c r="Z92" s="2"/>
      <c r="AA92" s="2"/>
      <c r="AB92" s="2"/>
      <c r="AC92" s="2"/>
      <c r="AD92" s="2"/>
      <c r="AE92" s="2"/>
      <c r="AF92" s="2"/>
      <c r="BA92" s="2" t="str">
        <f>IF(OR(B92="",B92="-"),"",IF((COUNTA(BA93:BA$100)-COUNTBLANK(BA93:BA$100))=0,B92,IF((COUNTA(BA93:BA$100)-COUNTBLANK(BA93:BA$100))=1,CONCATENATE(B92," و "),CONCATENATE(B92,"، "))))</f>
        <v/>
      </c>
      <c r="BB92" s="2" t="str">
        <f>IF(OR(C92="",C92="-"),"",IF((COUNTA(BB93:BB$100)-COUNTBLANK(BB93:BB$100))=0,C92,IF((COUNTA(BB93:BB$100)-COUNTBLANK(BB93:BB$100))=1,CONCATENATE(C92," و "),CONCATENATE(C92,"، "))))</f>
        <v/>
      </c>
      <c r="BC92" s="2" t="str">
        <f>IF(OR(D92="",D92="-"),"",IF((COUNTA(BC93:BC$100)-COUNTBLANK(BC93:BC$100))=0,D92,IF((COUNTA(BC93:BC$100)-COUNTBLANK(BC93:BC$100))=1,CONCATENATE(D92," و "),CONCATENATE(D92,"، "))))</f>
        <v/>
      </c>
      <c r="BD92" s="2" t="str">
        <f>IF(OR(E92="",E92="-"),"",IF((COUNTA(BD93:BD$100)-COUNTBLANK(BD93:BD$100))=0,E92,IF((COUNTA(BD93:BD$100)-COUNTBLANK(BD93:BD$100))=1,CONCATENATE(E92," و "),CONCATENATE(E92,"، "))))</f>
        <v/>
      </c>
      <c r="BE92" s="2" t="str">
        <f>IF(OR(F92="",F92="-"),"",IF((COUNTA(BE93:BE$100)-COUNTBLANK(BE93:BE$100))=0,F92,IF((COUNTA(BE93:BE$100)-COUNTBLANK(BE93:BE$100))=1,CONCATENATE(F92," و "),CONCATENATE(F92,"، "))))</f>
        <v/>
      </c>
      <c r="BF92" s="2" t="str">
        <f>IF(OR(G92="",G92="-"),"",IF((COUNTA(BF93:BF$100)-COUNTBLANK(BF93:BF$100))=0,G92,IF((COUNTA(BF93:BF$100)-COUNTBLANK(BF93:BF$100))=1,CONCATENATE(G92," و "),CONCATENATE(G92,"، "))))</f>
        <v/>
      </c>
      <c r="BG92" s="2" t="str">
        <f>IF(OR(H92="",H92="-"),"",IF((COUNTA(BG93:BG$100)-COUNTBLANK(BG93:BG$100))=0,H92,IF((COUNTA(BG93:BG$100)-COUNTBLANK(BG93:BG$100))=1,CONCATENATE(H92," و "),CONCATENATE(H92,"، "))))</f>
        <v/>
      </c>
      <c r="BH92" s="2" t="str">
        <f>IF(OR(I92="",I92="-"),"",IF((COUNTA(BH93:BH$100)-COUNTBLANK(BH93:BH$100))=0,I92,IF((COUNTA(BH93:BH$100)-COUNTBLANK(BH93:BH$100))=1,CONCATENATE(I92," و "),CONCATENATE(I92,"، "))))</f>
        <v/>
      </c>
      <c r="BI92" s="2" t="str">
        <f>IF(OR(J92="",J92="-"),"",IF((COUNTA(BI93:BI$100)-COUNTBLANK(BI93:BI$100))=0,J92,IF((COUNTA(BI93:BI$100)-COUNTBLANK(BI93:BI$100))=1,CONCATENATE(J92," و "),CONCATENATE(J92,"، "))))</f>
        <v/>
      </c>
      <c r="BJ92" s="2" t="str">
        <f>IF(M92="","",IF((COUNTA(BJ93:$BJ$100)-COUNTBLANK(BJ93:$BJ$100)&gt;0),CONCATENATE(M92,CHAR(10)),M92))</f>
        <v/>
      </c>
      <c r="BK92" s="6"/>
      <c r="BL92" s="2"/>
      <c r="BM92" s="2"/>
      <c r="BN92" s="2"/>
      <c r="BO92" s="2"/>
    </row>
    <row r="93" spans="1:67" x14ac:dyDescent="0.3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13"/>
      <c r="Z93" s="2"/>
      <c r="AA93" s="2"/>
      <c r="AB93" s="2"/>
      <c r="AC93" s="2"/>
      <c r="AD93" s="2"/>
      <c r="AE93" s="2"/>
      <c r="AF93" s="2"/>
      <c r="BA93" s="2" t="str">
        <f>IF(OR(B93="",B93="-"),"",IF((COUNTA(BA94:BA$100)-COUNTBLANK(BA94:BA$100))=0,B93,IF((COUNTA(BA94:BA$100)-COUNTBLANK(BA94:BA$100))=1,CONCATENATE(B93," و "),CONCATENATE(B93,"، "))))</f>
        <v/>
      </c>
      <c r="BB93" s="2" t="str">
        <f>IF(OR(C93="",C93="-"),"",IF((COUNTA(BB94:BB$100)-COUNTBLANK(BB94:BB$100))=0,C93,IF((COUNTA(BB94:BB$100)-COUNTBLANK(BB94:BB$100))=1,CONCATENATE(C93," و "),CONCATENATE(C93,"، "))))</f>
        <v/>
      </c>
      <c r="BC93" s="2" t="str">
        <f>IF(OR(D93="",D93="-"),"",IF((COUNTA(BC94:BC$100)-COUNTBLANK(BC94:BC$100))=0,D93,IF((COUNTA(BC94:BC$100)-COUNTBLANK(BC94:BC$100))=1,CONCATENATE(D93," و "),CONCATENATE(D93,"، "))))</f>
        <v/>
      </c>
      <c r="BD93" s="2" t="str">
        <f>IF(OR(E93="",E93="-"),"",IF((COUNTA(BD94:BD$100)-COUNTBLANK(BD94:BD$100))=0,E93,IF((COUNTA(BD94:BD$100)-COUNTBLANK(BD94:BD$100))=1,CONCATENATE(E93," و "),CONCATENATE(E93,"، "))))</f>
        <v/>
      </c>
      <c r="BE93" s="2" t="str">
        <f>IF(OR(F93="",F93="-"),"",IF((COUNTA(BE94:BE$100)-COUNTBLANK(BE94:BE$100))=0,F93,IF((COUNTA(BE94:BE$100)-COUNTBLANK(BE94:BE$100))=1,CONCATENATE(F93," و "),CONCATENATE(F93,"، "))))</f>
        <v/>
      </c>
      <c r="BF93" s="2" t="str">
        <f>IF(OR(G93="",G93="-"),"",IF((COUNTA(BF94:BF$100)-COUNTBLANK(BF94:BF$100))=0,G93,IF((COUNTA(BF94:BF$100)-COUNTBLANK(BF94:BF$100))=1,CONCATENATE(G93," و "),CONCATENATE(G93,"، "))))</f>
        <v/>
      </c>
      <c r="BG93" s="2" t="str">
        <f>IF(OR(H93="",H93="-"),"",IF((COUNTA(BG94:BG$100)-COUNTBLANK(BG94:BG$100))=0,H93,IF((COUNTA(BG94:BG$100)-COUNTBLANK(BG94:BG$100))=1,CONCATENATE(H93," و "),CONCATENATE(H93,"، "))))</f>
        <v/>
      </c>
      <c r="BH93" s="2" t="str">
        <f>IF(OR(I93="",I93="-"),"",IF((COUNTA(BH94:BH$100)-COUNTBLANK(BH94:BH$100))=0,I93,IF((COUNTA(BH94:BH$100)-COUNTBLANK(BH94:BH$100))=1,CONCATENATE(I93," و "),CONCATENATE(I93,"، "))))</f>
        <v/>
      </c>
      <c r="BI93" s="2" t="str">
        <f>IF(OR(J93="",J93="-"),"",IF((COUNTA(BI94:BI$100)-COUNTBLANK(BI94:BI$100))=0,J93,IF((COUNTA(BI94:BI$100)-COUNTBLANK(BI94:BI$100))=1,CONCATENATE(J93," و "),CONCATENATE(J93,"، "))))</f>
        <v/>
      </c>
      <c r="BJ93" s="2" t="str">
        <f>IF(M93="","",IF((COUNTA(BJ94:$BJ$100)-COUNTBLANK(BJ94:$BJ$100)&gt;0),CONCATENATE(M93,CHAR(10)),M93))</f>
        <v/>
      </c>
      <c r="BK93" s="6"/>
      <c r="BL93" s="2"/>
      <c r="BM93" s="2"/>
      <c r="BN93" s="2"/>
      <c r="BO93" s="2"/>
    </row>
    <row r="94" spans="1:67" x14ac:dyDescent="0.3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13"/>
      <c r="Z94" s="2"/>
      <c r="AA94" s="2"/>
      <c r="AB94" s="2"/>
      <c r="AC94" s="2"/>
      <c r="AD94" s="2"/>
      <c r="AE94" s="2"/>
      <c r="AF94" s="2"/>
      <c r="BA94" s="2" t="str">
        <f>IF(OR(B94="",B94="-"),"",IF((COUNTA(BA95:BA$100)-COUNTBLANK(BA95:BA$100))=0,B94,IF((COUNTA(BA95:BA$100)-COUNTBLANK(BA95:BA$100))=1,CONCATENATE(B94," و "),CONCATENATE(B94,"، "))))</f>
        <v/>
      </c>
      <c r="BB94" s="2" t="str">
        <f>IF(OR(C94="",C94="-"),"",IF((COUNTA(BB95:BB$100)-COUNTBLANK(BB95:BB$100))=0,C94,IF((COUNTA(BB95:BB$100)-COUNTBLANK(BB95:BB$100))=1,CONCATENATE(C94," و "),CONCATENATE(C94,"، "))))</f>
        <v/>
      </c>
      <c r="BC94" s="2" t="str">
        <f>IF(OR(D94="",D94="-"),"",IF((COUNTA(BC95:BC$100)-COUNTBLANK(BC95:BC$100))=0,D94,IF((COUNTA(BC95:BC$100)-COUNTBLANK(BC95:BC$100))=1,CONCATENATE(D94," و "),CONCATENATE(D94,"، "))))</f>
        <v/>
      </c>
      <c r="BD94" s="2" t="str">
        <f>IF(OR(E94="",E94="-"),"",IF((COUNTA(BD95:BD$100)-COUNTBLANK(BD95:BD$100))=0,E94,IF((COUNTA(BD95:BD$100)-COUNTBLANK(BD95:BD$100))=1,CONCATENATE(E94," و "),CONCATENATE(E94,"، "))))</f>
        <v/>
      </c>
      <c r="BE94" s="2" t="str">
        <f>IF(OR(F94="",F94="-"),"",IF((COUNTA(BE95:BE$100)-COUNTBLANK(BE95:BE$100))=0,F94,IF((COUNTA(BE95:BE$100)-COUNTBLANK(BE95:BE$100))=1,CONCATENATE(F94," و "),CONCATENATE(F94,"، "))))</f>
        <v/>
      </c>
      <c r="BF94" s="2" t="str">
        <f>IF(OR(G94="",G94="-"),"",IF((COUNTA(BF95:BF$100)-COUNTBLANK(BF95:BF$100))=0,G94,IF((COUNTA(BF95:BF$100)-COUNTBLANK(BF95:BF$100))=1,CONCATENATE(G94," و "),CONCATENATE(G94,"، "))))</f>
        <v/>
      </c>
      <c r="BG94" s="2" t="str">
        <f>IF(OR(H94="",H94="-"),"",IF((COUNTA(BG95:BG$100)-COUNTBLANK(BG95:BG$100))=0,H94,IF((COUNTA(BG95:BG$100)-COUNTBLANK(BG95:BG$100))=1,CONCATENATE(H94," و "),CONCATENATE(H94,"، "))))</f>
        <v/>
      </c>
      <c r="BH94" s="2" t="str">
        <f>IF(OR(I94="",I94="-"),"",IF((COUNTA(BH95:BH$100)-COUNTBLANK(BH95:BH$100))=0,I94,IF((COUNTA(BH95:BH$100)-COUNTBLANK(BH95:BH$100))=1,CONCATENATE(I94," و "),CONCATENATE(I94,"، "))))</f>
        <v/>
      </c>
      <c r="BI94" s="2" t="str">
        <f>IF(OR(J94="",J94="-"),"",IF((COUNTA(BI95:BI$100)-COUNTBLANK(BI95:BI$100))=0,J94,IF((COUNTA(BI95:BI$100)-COUNTBLANK(BI95:BI$100))=1,CONCATENATE(J94," و "),CONCATENATE(J94,"، "))))</f>
        <v/>
      </c>
      <c r="BJ94" s="2" t="str">
        <f>IF(M94="","",IF((COUNTA(BJ95:$BJ$100)-COUNTBLANK(BJ95:$BJ$100)&gt;0),CONCATENATE(M94,CHAR(10)),M94))</f>
        <v/>
      </c>
      <c r="BK94" s="6"/>
      <c r="BL94" s="2"/>
      <c r="BM94" s="2"/>
      <c r="BN94" s="2"/>
      <c r="BO94" s="2"/>
    </row>
    <row r="95" spans="1:67" x14ac:dyDescent="0.3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13"/>
      <c r="Z95" s="2"/>
      <c r="AA95" s="2"/>
      <c r="AB95" s="2"/>
      <c r="AC95" s="2"/>
      <c r="AD95" s="2"/>
      <c r="AE95" s="2"/>
      <c r="AF95" s="2"/>
      <c r="BA95" s="2" t="str">
        <f>IF(OR(B95="",B95="-"),"",IF((COUNTA(BA96:BA$100)-COUNTBLANK(BA96:BA$100))=0,B95,IF((COUNTA(BA96:BA$100)-COUNTBLANK(BA96:BA$100))=1,CONCATENATE(B95," و "),CONCATENATE(B95,"، "))))</f>
        <v/>
      </c>
      <c r="BB95" s="2" t="str">
        <f>IF(OR(C95="",C95="-"),"",IF((COUNTA(BB96:BB$100)-COUNTBLANK(BB96:BB$100))=0,C95,IF((COUNTA(BB96:BB$100)-COUNTBLANK(BB96:BB$100))=1,CONCATENATE(C95," و "),CONCATENATE(C95,"، "))))</f>
        <v/>
      </c>
      <c r="BC95" s="2" t="str">
        <f>IF(OR(D95="",D95="-"),"",IF((COUNTA(BC96:BC$100)-COUNTBLANK(BC96:BC$100))=0,D95,IF((COUNTA(BC96:BC$100)-COUNTBLANK(BC96:BC$100))=1,CONCATENATE(D95," و "),CONCATENATE(D95,"، "))))</f>
        <v/>
      </c>
      <c r="BD95" s="2" t="str">
        <f>IF(OR(E95="",E95="-"),"",IF((COUNTA(BD96:BD$100)-COUNTBLANK(BD96:BD$100))=0,E95,IF((COUNTA(BD96:BD$100)-COUNTBLANK(BD96:BD$100))=1,CONCATENATE(E95," و "),CONCATENATE(E95,"، "))))</f>
        <v/>
      </c>
      <c r="BE95" s="2" t="str">
        <f>IF(OR(F95="",F95="-"),"",IF((COUNTA(BE96:BE$100)-COUNTBLANK(BE96:BE$100))=0,F95,IF((COUNTA(BE96:BE$100)-COUNTBLANK(BE96:BE$100))=1,CONCATENATE(F95," و "),CONCATENATE(F95,"، "))))</f>
        <v/>
      </c>
      <c r="BF95" s="2" t="str">
        <f>IF(OR(G95="",G95="-"),"",IF((COUNTA(BF96:BF$100)-COUNTBLANK(BF96:BF$100))=0,G95,IF((COUNTA(BF96:BF$100)-COUNTBLANK(BF96:BF$100))=1,CONCATENATE(G95," و "),CONCATENATE(G95,"، "))))</f>
        <v/>
      </c>
      <c r="BG95" s="2" t="str">
        <f>IF(OR(H95="",H95="-"),"",IF((COUNTA(BG96:BG$100)-COUNTBLANK(BG96:BG$100))=0,H95,IF((COUNTA(BG96:BG$100)-COUNTBLANK(BG96:BG$100))=1,CONCATENATE(H95," و "),CONCATENATE(H95,"، "))))</f>
        <v/>
      </c>
      <c r="BH95" s="2" t="str">
        <f>IF(OR(I95="",I95="-"),"",IF((COUNTA(BH96:BH$100)-COUNTBLANK(BH96:BH$100))=0,I95,IF((COUNTA(BH96:BH$100)-COUNTBLANK(BH96:BH$100))=1,CONCATENATE(I95," و "),CONCATENATE(I95,"، "))))</f>
        <v/>
      </c>
      <c r="BI95" s="2" t="str">
        <f>IF(OR(J95="",J95="-"),"",IF((COUNTA(BI96:BI$100)-COUNTBLANK(BI96:BI$100))=0,J95,IF((COUNTA(BI96:BI$100)-COUNTBLANK(BI96:BI$100))=1,CONCATENATE(J95," و "),CONCATENATE(J95,"، "))))</f>
        <v/>
      </c>
      <c r="BJ95" s="2" t="str">
        <f>IF(M95="","",IF((COUNTA(BJ96:$BJ$100)-COUNTBLANK(BJ96:$BJ$100)&gt;0),CONCATENATE(M95,CHAR(10)),M95))</f>
        <v/>
      </c>
      <c r="BK95" s="6"/>
      <c r="BL95" s="2"/>
      <c r="BM95" s="2"/>
      <c r="BN95" s="2"/>
      <c r="BO95" s="2"/>
    </row>
    <row r="96" spans="1:67" x14ac:dyDescent="0.3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13"/>
      <c r="Z96" s="2"/>
      <c r="AA96" s="2"/>
      <c r="AB96" s="2"/>
      <c r="AC96" s="2"/>
      <c r="AD96" s="2"/>
      <c r="AE96" s="2"/>
      <c r="AF96" s="2"/>
      <c r="BA96" s="2" t="str">
        <f>IF(OR(B96="",B96="-"),"",IF((COUNTA(BA97:BA$100)-COUNTBLANK(BA97:BA$100))=0,B96,IF((COUNTA(BA97:BA$100)-COUNTBLANK(BA97:BA$100))=1,CONCATENATE(B96," و "),CONCATENATE(B96,"، "))))</f>
        <v/>
      </c>
      <c r="BB96" s="2" t="str">
        <f>IF(OR(C96="",C96="-"),"",IF((COUNTA(BB97:BB$100)-COUNTBLANK(BB97:BB$100))=0,C96,IF((COUNTA(BB97:BB$100)-COUNTBLANK(BB97:BB$100))=1,CONCATENATE(C96," و "),CONCATENATE(C96,"، "))))</f>
        <v/>
      </c>
      <c r="BC96" s="2" t="str">
        <f>IF(OR(D96="",D96="-"),"",IF((COUNTA(BC97:BC$100)-COUNTBLANK(BC97:BC$100))=0,D96,IF((COUNTA(BC97:BC$100)-COUNTBLANK(BC97:BC$100))=1,CONCATENATE(D96," و "),CONCATENATE(D96,"، "))))</f>
        <v/>
      </c>
      <c r="BD96" s="2" t="str">
        <f>IF(OR(E96="",E96="-"),"",IF((COUNTA(BD97:BD$100)-COUNTBLANK(BD97:BD$100))=0,E96,IF((COUNTA(BD97:BD$100)-COUNTBLANK(BD97:BD$100))=1,CONCATENATE(E96," و "),CONCATENATE(E96,"، "))))</f>
        <v/>
      </c>
      <c r="BE96" s="2" t="str">
        <f>IF(OR(F96="",F96="-"),"",IF((COUNTA(BE97:BE$100)-COUNTBLANK(BE97:BE$100))=0,F96,IF((COUNTA(BE97:BE$100)-COUNTBLANK(BE97:BE$100))=1,CONCATENATE(F96," و "),CONCATENATE(F96,"، "))))</f>
        <v/>
      </c>
      <c r="BF96" s="2" t="str">
        <f>IF(OR(G96="",G96="-"),"",IF((COUNTA(BF97:BF$100)-COUNTBLANK(BF97:BF$100))=0,G96,IF((COUNTA(BF97:BF$100)-COUNTBLANK(BF97:BF$100))=1,CONCATENATE(G96," و "),CONCATENATE(G96,"، "))))</f>
        <v/>
      </c>
      <c r="BG96" s="2" t="str">
        <f>IF(OR(H96="",H96="-"),"",IF((COUNTA(BG97:BG$100)-COUNTBLANK(BG97:BG$100))=0,H96,IF((COUNTA(BG97:BG$100)-COUNTBLANK(BG97:BG$100))=1,CONCATENATE(H96," و "),CONCATENATE(H96,"، "))))</f>
        <v/>
      </c>
      <c r="BH96" s="2" t="str">
        <f>IF(OR(I96="",I96="-"),"",IF((COUNTA(BH97:BH$100)-COUNTBLANK(BH97:BH$100))=0,I96,IF((COUNTA(BH97:BH$100)-COUNTBLANK(BH97:BH$100))=1,CONCATENATE(I96," و "),CONCATENATE(I96,"، "))))</f>
        <v/>
      </c>
      <c r="BI96" s="2" t="str">
        <f>IF(OR(J96="",J96="-"),"",IF((COUNTA(BI97:BI$100)-COUNTBLANK(BI97:BI$100))=0,J96,IF((COUNTA(BI97:BI$100)-COUNTBLANK(BI97:BI$100))=1,CONCATENATE(J96," و "),CONCATENATE(J96,"، "))))</f>
        <v/>
      </c>
      <c r="BJ96" s="2" t="str">
        <f>IF(M96="","",IF((COUNTA(BJ97:$BJ$100)-COUNTBLANK(BJ97:$BJ$100)&gt;0),CONCATENATE(M96,CHAR(10)),M96))</f>
        <v/>
      </c>
      <c r="BK96" s="6"/>
      <c r="BL96" s="2"/>
      <c r="BM96" s="2"/>
      <c r="BN96" s="2"/>
      <c r="BO96" s="2"/>
    </row>
    <row r="97" spans="1:67" x14ac:dyDescent="0.3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13"/>
      <c r="Z97" s="2"/>
      <c r="AA97" s="2"/>
      <c r="AB97" s="2"/>
      <c r="AC97" s="2"/>
      <c r="AD97" s="2"/>
      <c r="AE97" s="2"/>
      <c r="AF97" s="2"/>
      <c r="BA97" s="2" t="str">
        <f>IF(OR(B97="",B97="-"),"",IF((COUNTA(BA98:BA$100)-COUNTBLANK(BA98:BA$100))=0,B97,IF((COUNTA(BA98:BA$100)-COUNTBLANK(BA98:BA$100))=1,CONCATENATE(B97," و "),CONCATENATE(B97,"، "))))</f>
        <v/>
      </c>
      <c r="BB97" s="2" t="str">
        <f>IF(OR(C97="",C97="-"),"",IF((COUNTA(BB98:BB$100)-COUNTBLANK(BB98:BB$100))=0,C97,IF((COUNTA(BB98:BB$100)-COUNTBLANK(BB98:BB$100))=1,CONCATENATE(C97," و "),CONCATENATE(C97,"، "))))</f>
        <v/>
      </c>
      <c r="BC97" s="2" t="str">
        <f>IF(OR(D97="",D97="-"),"",IF((COUNTA(BC98:BC$100)-COUNTBLANK(BC98:BC$100))=0,D97,IF((COUNTA(BC98:BC$100)-COUNTBLANK(BC98:BC$100))=1,CONCATENATE(D97," و "),CONCATENATE(D97,"، "))))</f>
        <v/>
      </c>
      <c r="BD97" s="2" t="str">
        <f>IF(OR(E97="",E97="-"),"",IF((COUNTA(BD98:BD$100)-COUNTBLANK(BD98:BD$100))=0,E97,IF((COUNTA(BD98:BD$100)-COUNTBLANK(BD98:BD$100))=1,CONCATENATE(E97," و "),CONCATENATE(E97,"، "))))</f>
        <v/>
      </c>
      <c r="BE97" s="2" t="str">
        <f>IF(OR(F97="",F97="-"),"",IF((COUNTA(BE98:BE$100)-COUNTBLANK(BE98:BE$100))=0,F97,IF((COUNTA(BE98:BE$100)-COUNTBLANK(BE98:BE$100))=1,CONCATENATE(F97," و "),CONCATENATE(F97,"، "))))</f>
        <v/>
      </c>
      <c r="BF97" s="2" t="str">
        <f>IF(OR(G97="",G97="-"),"",IF((COUNTA(BF98:BF$100)-COUNTBLANK(BF98:BF$100))=0,G97,IF((COUNTA(BF98:BF$100)-COUNTBLANK(BF98:BF$100))=1,CONCATENATE(G97," و "),CONCATENATE(G97,"، "))))</f>
        <v/>
      </c>
      <c r="BG97" s="2" t="str">
        <f>IF(OR(H97="",H97="-"),"",IF((COUNTA(BG98:BG$100)-COUNTBLANK(BG98:BG$100))=0,H97,IF((COUNTA(BG98:BG$100)-COUNTBLANK(BG98:BG$100))=1,CONCATENATE(H97," و "),CONCATENATE(H97,"، "))))</f>
        <v/>
      </c>
      <c r="BH97" s="2" t="str">
        <f>IF(OR(I97="",I97="-"),"",IF((COUNTA(BH98:BH$100)-COUNTBLANK(BH98:BH$100))=0,I97,IF((COUNTA(BH98:BH$100)-COUNTBLANK(BH98:BH$100))=1,CONCATENATE(I97," و "),CONCATENATE(I97,"، "))))</f>
        <v/>
      </c>
      <c r="BI97" s="2" t="str">
        <f>IF(OR(J97="",J97="-"),"",IF((COUNTA(BI98:BI$100)-COUNTBLANK(BI98:BI$100))=0,J97,IF((COUNTA(BI98:BI$100)-COUNTBLANK(BI98:BI$100))=1,CONCATENATE(J97," و "),CONCATENATE(J97,"، "))))</f>
        <v/>
      </c>
      <c r="BJ97" s="2" t="str">
        <f>IF(M97="","",IF((COUNTA(BJ98:$BJ$100)-COUNTBLANK(BJ98:$BJ$100)&gt;0),CONCATENATE(M97,CHAR(10)),M97))</f>
        <v/>
      </c>
      <c r="BK97" s="6"/>
      <c r="BL97" s="2"/>
      <c r="BM97" s="2"/>
      <c r="BN97" s="2"/>
      <c r="BO97" s="2"/>
    </row>
    <row r="98" spans="1:67" x14ac:dyDescent="0.3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13"/>
      <c r="Z98" s="2"/>
      <c r="AA98" s="2"/>
      <c r="AB98" s="2"/>
      <c r="AC98" s="2"/>
      <c r="AD98" s="2"/>
      <c r="AE98" s="2"/>
      <c r="AF98" s="2"/>
      <c r="BA98" s="2" t="str">
        <f>IF(OR(B98="",B98="-"),"",IF((COUNTA(BA99:BA$100)-COUNTBLANK(BA99:BA$100))=0,B98,IF((COUNTA(BA99:BA$100)-COUNTBLANK(BA99:BA$100))=1,CONCATENATE(B98," و "),CONCATENATE(B98,"، "))))</f>
        <v/>
      </c>
      <c r="BB98" s="2" t="str">
        <f>IF(OR(C98="",C98="-"),"",IF((COUNTA(BB99:BB$100)-COUNTBLANK(BB99:BB$100))=0,C98,IF((COUNTA(BB99:BB$100)-COUNTBLANK(BB99:BB$100))=1,CONCATENATE(C98," و "),CONCATENATE(C98,"، "))))</f>
        <v/>
      </c>
      <c r="BC98" s="2" t="str">
        <f>IF(OR(D98="",D98="-"),"",IF((COUNTA(BC99:BC$100)-COUNTBLANK(BC99:BC$100))=0,D98,IF((COUNTA(BC99:BC$100)-COUNTBLANK(BC99:BC$100))=1,CONCATENATE(D98," و "),CONCATENATE(D98,"، "))))</f>
        <v/>
      </c>
      <c r="BD98" s="2" t="str">
        <f>IF(OR(E98="",E98="-"),"",IF((COUNTA(BD99:BD$100)-COUNTBLANK(BD99:BD$100))=0,E98,IF((COUNTA(BD99:BD$100)-COUNTBLANK(BD99:BD$100))=1,CONCATENATE(E98," و "),CONCATENATE(E98,"، "))))</f>
        <v/>
      </c>
      <c r="BE98" s="2" t="str">
        <f>IF(OR(F98="",F98="-"),"",IF((COUNTA(BE99:BE$100)-COUNTBLANK(BE99:BE$100))=0,F98,IF((COUNTA(BE99:BE$100)-COUNTBLANK(BE99:BE$100))=1,CONCATENATE(F98," و "),CONCATENATE(F98,"، "))))</f>
        <v/>
      </c>
      <c r="BF98" s="2" t="str">
        <f>IF(OR(G98="",G98="-"),"",IF((COUNTA(BF99:BF$100)-COUNTBLANK(BF99:BF$100))=0,G98,IF((COUNTA(BF99:BF$100)-COUNTBLANK(BF99:BF$100))=1,CONCATENATE(G98," و "),CONCATENATE(G98,"، "))))</f>
        <v/>
      </c>
      <c r="BG98" s="2" t="str">
        <f>IF(OR(H98="",H98="-"),"",IF((COUNTA(BG99:BG$100)-COUNTBLANK(BG99:BG$100))=0,H98,IF((COUNTA(BG99:BG$100)-COUNTBLANK(BG99:BG$100))=1,CONCATENATE(H98," و "),CONCATENATE(H98,"، "))))</f>
        <v/>
      </c>
      <c r="BH98" s="2" t="str">
        <f>IF(OR(I98="",I98="-"),"",IF((COUNTA(BH99:BH$100)-COUNTBLANK(BH99:BH$100))=0,I98,IF((COUNTA(BH99:BH$100)-COUNTBLANK(BH99:BH$100))=1,CONCATENATE(I98," و "),CONCATENATE(I98,"، "))))</f>
        <v/>
      </c>
      <c r="BI98" s="2" t="str">
        <f>IF(OR(J98="",J98="-"),"",IF((COUNTA(BI99:BI$100)-COUNTBLANK(BI99:BI$100))=0,J98,IF((COUNTA(BI99:BI$100)-COUNTBLANK(BI99:BI$100))=1,CONCATENATE(J98," و "),CONCATENATE(J98,"، "))))</f>
        <v/>
      </c>
      <c r="BJ98" s="2" t="str">
        <f>IF(M98="","",IF((COUNTA(BJ99:$BJ$100)-COUNTBLANK(BJ99:$BJ$100)&gt;0),CONCATENATE(M98,CHAR(10)),M98))</f>
        <v/>
      </c>
      <c r="BK98" s="6"/>
      <c r="BL98" s="2"/>
      <c r="BM98" s="2"/>
      <c r="BN98" s="2"/>
      <c r="BO98" s="2"/>
    </row>
    <row r="99" spans="1:67" x14ac:dyDescent="0.3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13"/>
      <c r="Z99" s="2"/>
      <c r="AA99" s="2"/>
      <c r="AB99" s="2"/>
      <c r="AC99" s="2"/>
      <c r="AD99" s="2"/>
      <c r="AE99" s="2"/>
      <c r="AF99" s="2"/>
      <c r="BA99" s="2" t="str">
        <f>IF(OR(B99="",B99="-"),"",IF((COUNTA(BA100:BA$100)-COUNTBLANK(BA100:BA$100))=0,B99,IF((COUNTA(BA100:BA$100)-COUNTBLANK(BA100:BA$100))=1,CONCATENATE(B99," و "),CONCATENATE(B99,"، "))))</f>
        <v/>
      </c>
      <c r="BB99" s="2" t="str">
        <f>IF(OR(C99="",C99="-"),"",IF((COUNTA(BB100:BB$100)-COUNTBLANK(BB100:BB$100))=0,C99,IF((COUNTA(BB100:BB$100)-COUNTBLANK(BB100:BB$100))=1,CONCATENATE(C99," و "),CONCATENATE(C99,"، "))))</f>
        <v/>
      </c>
      <c r="BC99" s="2" t="str">
        <f>IF(OR(D99="",D99="-"),"",IF((COUNTA(BC100:BC$100)-COUNTBLANK(BC100:BC$100))=0,D99,IF((COUNTA(BC100:BC$100)-COUNTBLANK(BC100:BC$100))=1,CONCATENATE(D99," و "),CONCATENATE(D99,"، "))))</f>
        <v/>
      </c>
      <c r="BD99" s="2" t="str">
        <f>IF(OR(E99="",E99="-"),"",IF((COUNTA(BD100:BD$100)-COUNTBLANK(BD100:BD$100))=0,E99,IF((COUNTA(BD100:BD$100)-COUNTBLANK(BD100:BD$100))=1,CONCATENATE(E99," و "),CONCATENATE(E99,"، "))))</f>
        <v/>
      </c>
      <c r="BE99" s="2" t="str">
        <f>IF(OR(F99="",F99="-"),"",IF((COUNTA(BE100:BE$100)-COUNTBLANK(BE100:BE$100))=0,F99,IF((COUNTA(BE100:BE$100)-COUNTBLANK(BE100:BE$100))=1,CONCATENATE(F99," و "),CONCATENATE(F99,"، "))))</f>
        <v/>
      </c>
      <c r="BF99" s="2" t="str">
        <f>IF(OR(G99="",G99="-"),"",IF((COUNTA(BF100:BF$100)-COUNTBLANK(BF100:BF$100))=0,G99,IF((COUNTA(BF100:BF$100)-COUNTBLANK(BF100:BF$100))=1,CONCATENATE(G99," و "),CONCATENATE(G99,"، "))))</f>
        <v/>
      </c>
      <c r="BG99" s="2" t="str">
        <f>IF(OR(H99="",H99="-"),"",IF((COUNTA(BG100:BG$100)-COUNTBLANK(BG100:BG$100))=0,H99,IF((COUNTA(BG100:BG$100)-COUNTBLANK(BG100:BG$100))=1,CONCATENATE(H99," و "),CONCATENATE(H99,"، "))))</f>
        <v/>
      </c>
      <c r="BH99" s="2" t="str">
        <f>IF(OR(I99="",I99="-"),"",IF((COUNTA(BH100:BH$100)-COUNTBLANK(BH100:BH$100))=0,I99,IF((COUNTA(BH100:BH$100)-COUNTBLANK(BH100:BH$100))=1,CONCATENATE(I99," و "),CONCATENATE(I99,"، "))))</f>
        <v/>
      </c>
      <c r="BI99" s="2" t="str">
        <f>IF(OR(J99="",J99="-"),"",IF((COUNTA(BI100:BI$100)-COUNTBLANK(BI100:BI$100))=0,J99,IF((COUNTA(BI100:BI$100)-COUNTBLANK(BI100:BI$100))=1,CONCATENATE(J99," و "),CONCATENATE(J99,"، "))))</f>
        <v/>
      </c>
      <c r="BJ99" s="2" t="str">
        <f>IF(M99="","",IF((COUNTA(BJ100:$BJ$100)-COUNTBLANK(BJ100:$BJ$100)&gt;0),CONCATENATE(M99,CHAR(10)),M99))</f>
        <v/>
      </c>
      <c r="BK99" s="6"/>
      <c r="BL99" s="2"/>
      <c r="BM99" s="2"/>
      <c r="BN99" s="2"/>
      <c r="BO99" s="2"/>
    </row>
    <row r="100" spans="1:67" x14ac:dyDescent="0.3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13"/>
      <c r="Z100" s="2"/>
      <c r="AA100" s="2"/>
      <c r="AB100" s="2"/>
      <c r="AC100" s="2"/>
      <c r="AD100" s="2"/>
      <c r="AE100" s="2"/>
      <c r="AF100" s="2"/>
      <c r="BA100" s="2" t="str">
        <f>IF(OR(B100="",B100="-"),"",IF((COUNTA(BA$100:BA101)-COUNTBLANK(BA$100:BA101))=0,B100,IF((COUNTA(BA$100:BA101)-COUNTBLANK(BA$100:BA101))=1,CONCATENATE(B100," و "),CONCATENATE(B100,"، "))))</f>
        <v/>
      </c>
      <c r="BB100" s="2" t="str">
        <f>IF(OR(C100="",C100="-"),"",IF((COUNTA(BB$100:BB101)-COUNTBLANK(BB$100:BB101))=0,C100,IF((COUNTA(BB$100:BB101)-COUNTBLANK(BB$100:BB101))=1,CONCATENATE(C100," و "),CONCATENATE(C100,"، "))))</f>
        <v/>
      </c>
      <c r="BC100" s="2" t="str">
        <f>IF(OR(D100="",D100="-"),"",IF((COUNTA(BC$100:BC101)-COUNTBLANK(BC$100:BC101))=0,D100,IF((COUNTA(BC$100:BC101)-COUNTBLANK(BC$100:BC101))=1,CONCATENATE(D100," و "),CONCATENATE(D100,"، "))))</f>
        <v/>
      </c>
      <c r="BD100" s="2" t="str">
        <f>IF(OR(E100="",E100="-"),"",IF((COUNTA(BD$100:BD101)-COUNTBLANK(BD$100:BD101))=0,E100,IF((COUNTA(BD$100:BD101)-COUNTBLANK(BD$100:BD101))=1,CONCATENATE(E100," و "),CONCATENATE(E100,"، "))))</f>
        <v/>
      </c>
      <c r="BE100" s="2" t="str">
        <f>IF(OR(F100="",F100="-"),"",IF((COUNTA(BE$100:BE101)-COUNTBLANK(BE$100:BE101))=0,F100,IF((COUNTA(BE$100:BE101)-COUNTBLANK(BE$100:BE101))=1,CONCATENATE(F100," و "),CONCATENATE(F100,"، "))))</f>
        <v/>
      </c>
      <c r="BF100" s="2" t="str">
        <f>IF(OR(G100="",G100="-"),"",IF((COUNTA(BF$100:BF101)-COUNTBLANK(BF$100:BF101))=0,G100,IF((COUNTA(BF$100:BF101)-COUNTBLANK(BF$100:BF101))=1,CONCATENATE(G100," و "),CONCATENATE(G100,"، "))))</f>
        <v/>
      </c>
      <c r="BG100" s="2" t="str">
        <f>IF(OR(H100="",H100="-"),"",IF((COUNTA(BG$100:BG101)-COUNTBLANK(BG$100:BG101))=0,H100,IF((COUNTA(BG$100:BG101)-COUNTBLANK(BG$100:BG101))=1,CONCATENATE(H100," و "),CONCATENATE(H100,"، "))))</f>
        <v/>
      </c>
      <c r="BH100" s="2" t="str">
        <f>IF(OR(I100="",I100="-"),"",IF((COUNTA(BH$100:BH101)-COUNTBLANK(BH$100:BH101))=0,I100,IF((COUNTA(BH$100:BH101)-COUNTBLANK(BH$100:BH101))=1,CONCATENATE(I100," و "),CONCATENATE(I100,"، "))))</f>
        <v/>
      </c>
      <c r="BI100" s="2" t="str">
        <f>IF(OR(J100="",J100="-"),"",IF((COUNTA(BI$100:BI101)-COUNTBLANK(BI$100:BI101))=0,J100,IF((COUNTA(BI$100:BI101)-COUNTBLANK(BI$100:BI101))=1,CONCATENATE(J100," و "),CONCATENATE(J100,"، "))))</f>
        <v/>
      </c>
      <c r="BJ100" s="2" t="str">
        <f>IF(M100="","",IF((COUNTA(BJ$100:$BJ101)-COUNTBLANK(BJ$100:$BJ101)&gt;0),CONCATENATE(M100,CHAR(10)),M100))</f>
        <v/>
      </c>
      <c r="BK100" s="6"/>
      <c r="BL100" s="2"/>
      <c r="BM100" s="2"/>
      <c r="BN100" s="2"/>
      <c r="BO100" s="2"/>
    </row>
    <row r="101" spans="1:67" x14ac:dyDescent="0.3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13"/>
      <c r="Z101" s="2"/>
      <c r="AA101" s="2"/>
      <c r="AB101" s="2"/>
      <c r="AC101" s="2"/>
      <c r="AD101" s="2"/>
      <c r="AE101" s="2"/>
      <c r="AF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L101" s="2"/>
      <c r="BM101" s="2"/>
      <c r="BN101" s="2"/>
      <c r="BO101" s="2"/>
    </row>
    <row r="102" spans="1:67" x14ac:dyDescent="0.3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13"/>
      <c r="Z102" s="2"/>
      <c r="AA102" s="2"/>
      <c r="AB102" s="2"/>
      <c r="AC102" s="2"/>
      <c r="AD102" s="2"/>
      <c r="AE102" s="2"/>
      <c r="AF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L102" s="2"/>
      <c r="BM102" s="2"/>
      <c r="BN102" s="2"/>
      <c r="BO102" s="2"/>
    </row>
    <row r="103" spans="1:67" x14ac:dyDescent="0.3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13"/>
      <c r="Z103" s="2"/>
      <c r="AA103" s="2"/>
      <c r="AB103" s="2"/>
      <c r="AC103" s="2"/>
      <c r="AD103" s="2"/>
      <c r="AE103" s="2"/>
      <c r="AF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L103" s="2"/>
      <c r="BM103" s="2"/>
      <c r="BN103" s="2"/>
      <c r="BO103" s="2"/>
    </row>
    <row r="104" spans="1:67" x14ac:dyDescent="0.3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13"/>
      <c r="Z104" s="2"/>
      <c r="AA104" s="2"/>
      <c r="AB104" s="2"/>
      <c r="AC104" s="2"/>
      <c r="AD104" s="2"/>
      <c r="AE104" s="2"/>
      <c r="AF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L104" s="2"/>
      <c r="BM104" s="2"/>
      <c r="BN104" s="2"/>
      <c r="BO104" s="2"/>
    </row>
    <row r="105" spans="1:67" x14ac:dyDescent="0.3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13"/>
      <c r="Z105" s="2"/>
      <c r="AA105" s="2"/>
      <c r="AB105" s="2"/>
      <c r="AC105" s="2"/>
      <c r="AD105" s="2"/>
      <c r="AE105" s="2"/>
      <c r="AF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L105" s="2"/>
      <c r="BM105" s="2"/>
      <c r="BN105" s="2"/>
      <c r="BO105" s="2"/>
    </row>
    <row r="106" spans="1:67" x14ac:dyDescent="0.3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13"/>
      <c r="Z106" s="2"/>
      <c r="AA106" s="2"/>
      <c r="AB106" s="2"/>
      <c r="AC106" s="2"/>
      <c r="AD106" s="2"/>
      <c r="AE106" s="2"/>
      <c r="AF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L106" s="2"/>
      <c r="BM106" s="2"/>
      <c r="BN106" s="2"/>
      <c r="BO106" s="2"/>
    </row>
    <row r="107" spans="1:67" x14ac:dyDescent="0.3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13"/>
      <c r="Z107" s="2"/>
      <c r="AA107" s="2"/>
      <c r="AB107" s="2"/>
      <c r="AC107" s="2"/>
      <c r="AD107" s="2"/>
      <c r="AE107" s="2"/>
      <c r="AF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L107" s="2"/>
      <c r="BM107" s="2"/>
      <c r="BN107" s="2"/>
      <c r="BO107" s="2"/>
    </row>
    <row r="108" spans="1:67" x14ac:dyDescent="0.3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13"/>
      <c r="Z108" s="2"/>
      <c r="AA108" s="2"/>
      <c r="AB108" s="2"/>
      <c r="AC108" s="2"/>
      <c r="AD108" s="2"/>
      <c r="AE108" s="2"/>
      <c r="AF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L108" s="2"/>
      <c r="BM108" s="2"/>
      <c r="BN108" s="2"/>
      <c r="BO108" s="2"/>
    </row>
    <row r="109" spans="1:67" x14ac:dyDescent="0.3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13"/>
      <c r="Z109" s="2"/>
      <c r="AA109" s="2"/>
      <c r="AB109" s="2"/>
      <c r="AC109" s="2"/>
      <c r="AD109" s="2"/>
      <c r="AE109" s="2"/>
      <c r="AF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L109" s="2"/>
      <c r="BM109" s="2"/>
      <c r="BN109" s="2"/>
      <c r="BO109" s="2"/>
    </row>
    <row r="110" spans="1:67" x14ac:dyDescent="0.3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13"/>
      <c r="Z110" s="2"/>
      <c r="AA110" s="2"/>
      <c r="AB110" s="2"/>
      <c r="AC110" s="2"/>
      <c r="AD110" s="2"/>
      <c r="AE110" s="2"/>
      <c r="AF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L110" s="2"/>
      <c r="BM110" s="2"/>
      <c r="BN110" s="2"/>
      <c r="BO110" s="2"/>
    </row>
    <row r="111" spans="1:67" x14ac:dyDescent="0.3">
      <c r="BL111" s="2"/>
      <c r="BM111" s="2"/>
      <c r="BN111" s="2"/>
      <c r="BO111" s="2"/>
    </row>
  </sheetData>
  <sheetProtection selectLockedCells="1"/>
  <mergeCells count="1">
    <mergeCell ref="BL1:BO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415"/>
  <sheetViews>
    <sheetView rightToLeft="1" zoomScale="70" zoomScaleNormal="70" workbookViewId="0">
      <pane ySplit="1" topLeftCell="A2" activePane="bottomLeft" state="frozen"/>
      <selection activeCell="I1" sqref="I1"/>
      <selection pane="bottomLeft"/>
    </sheetView>
  </sheetViews>
  <sheetFormatPr defaultColWidth="9.109375" defaultRowHeight="21.6" x14ac:dyDescent="0.3"/>
  <cols>
    <col min="1" max="9" width="40.6640625" style="8" customWidth="1"/>
    <col min="10" max="16384" width="9.109375" style="8"/>
  </cols>
  <sheetData>
    <row r="1" spans="1:9" ht="54" x14ac:dyDescent="0.3">
      <c r="A1" s="7" t="s">
        <v>210</v>
      </c>
      <c r="B1" s="7" t="s">
        <v>213</v>
      </c>
      <c r="C1" s="7" t="s">
        <v>62</v>
      </c>
      <c r="D1" s="7" t="s">
        <v>65</v>
      </c>
      <c r="E1" s="7" t="s">
        <v>66</v>
      </c>
      <c r="F1" s="7" t="s">
        <v>214</v>
      </c>
      <c r="G1" s="7" t="s">
        <v>215</v>
      </c>
      <c r="H1" s="7" t="s">
        <v>0</v>
      </c>
      <c r="I1" s="7" t="s">
        <v>216</v>
      </c>
    </row>
    <row r="2" spans="1:9" s="3" customFormat="1" x14ac:dyDescent="0.3">
      <c r="A2" s="4" t="s">
        <v>122</v>
      </c>
      <c r="B2" s="4" t="s">
        <v>3</v>
      </c>
      <c r="C2" s="4" t="s">
        <v>3</v>
      </c>
      <c r="D2" s="4" t="s">
        <v>3</v>
      </c>
      <c r="E2" s="4" t="s">
        <v>3</v>
      </c>
      <c r="F2" s="4" t="s">
        <v>2</v>
      </c>
      <c r="G2" s="4" t="s">
        <v>124</v>
      </c>
      <c r="H2" s="4" t="s">
        <v>138</v>
      </c>
      <c r="I2" s="4" t="s">
        <v>192</v>
      </c>
    </row>
    <row r="3" spans="1:9" s="3" customFormat="1" x14ac:dyDescent="0.3">
      <c r="A3" s="4" t="s">
        <v>122</v>
      </c>
      <c r="B3" s="4" t="s">
        <v>3</v>
      </c>
      <c r="C3" s="4" t="s">
        <v>3</v>
      </c>
      <c r="D3" s="4" t="s">
        <v>3</v>
      </c>
      <c r="E3" s="4" t="s">
        <v>3</v>
      </c>
      <c r="F3" s="4" t="s">
        <v>2</v>
      </c>
      <c r="G3" s="4" t="s">
        <v>124</v>
      </c>
      <c r="H3" s="4" t="s">
        <v>138</v>
      </c>
      <c r="I3" s="4" t="s">
        <v>193</v>
      </c>
    </row>
    <row r="4" spans="1:9" s="3" customFormat="1" x14ac:dyDescent="0.3">
      <c r="A4" s="4" t="s">
        <v>122</v>
      </c>
      <c r="B4" s="4" t="s">
        <v>3</v>
      </c>
      <c r="C4" s="4" t="s">
        <v>3</v>
      </c>
      <c r="D4" s="4" t="s">
        <v>3</v>
      </c>
      <c r="E4" s="4" t="s">
        <v>3</v>
      </c>
      <c r="F4" s="4" t="s">
        <v>2</v>
      </c>
      <c r="G4" s="4" t="s">
        <v>124</v>
      </c>
      <c r="H4" s="4" t="s">
        <v>138</v>
      </c>
      <c r="I4" s="4" t="s">
        <v>191</v>
      </c>
    </row>
    <row r="5" spans="1:9" s="3" customFormat="1" x14ac:dyDescent="0.3">
      <c r="A5" s="4" t="s">
        <v>122</v>
      </c>
      <c r="B5" s="4" t="s">
        <v>3</v>
      </c>
      <c r="C5" s="4" t="s">
        <v>3</v>
      </c>
      <c r="D5" s="4" t="s">
        <v>3</v>
      </c>
      <c r="E5" s="4" t="s">
        <v>3</v>
      </c>
      <c r="F5" s="4" t="s">
        <v>2</v>
      </c>
      <c r="G5" s="4" t="s">
        <v>124</v>
      </c>
      <c r="H5" s="4" t="s">
        <v>140</v>
      </c>
      <c r="I5" s="4" t="s">
        <v>209</v>
      </c>
    </row>
    <row r="6" spans="1:9" s="3" customFormat="1" x14ac:dyDescent="0.3">
      <c r="A6" s="4" t="s">
        <v>122</v>
      </c>
      <c r="B6" s="4" t="s">
        <v>3</v>
      </c>
      <c r="C6" s="4" t="s">
        <v>3</v>
      </c>
      <c r="D6" s="4" t="s">
        <v>3</v>
      </c>
      <c r="E6" s="4" t="s">
        <v>3</v>
      </c>
      <c r="F6" s="4" t="s">
        <v>2</v>
      </c>
      <c r="G6" s="4" t="s">
        <v>124</v>
      </c>
      <c r="H6" s="4" t="s">
        <v>143</v>
      </c>
      <c r="I6" s="4" t="s">
        <v>193</v>
      </c>
    </row>
    <row r="7" spans="1:9" s="3" customFormat="1" x14ac:dyDescent="0.3">
      <c r="A7" s="4" t="s">
        <v>122</v>
      </c>
      <c r="B7" s="4" t="s">
        <v>3</v>
      </c>
      <c r="C7" s="4" t="s">
        <v>3</v>
      </c>
      <c r="D7" s="4" t="s">
        <v>3</v>
      </c>
      <c r="E7" s="4" t="s">
        <v>3</v>
      </c>
      <c r="F7" s="4" t="s">
        <v>2</v>
      </c>
      <c r="G7" s="4" t="s">
        <v>124</v>
      </c>
      <c r="H7" s="4" t="s">
        <v>143</v>
      </c>
      <c r="I7" s="4" t="s">
        <v>202</v>
      </c>
    </row>
    <row r="8" spans="1:9" s="3" customFormat="1" x14ac:dyDescent="0.3">
      <c r="A8" s="4" t="s">
        <v>122</v>
      </c>
      <c r="B8" s="4" t="s">
        <v>3</v>
      </c>
      <c r="C8" s="4" t="s">
        <v>3</v>
      </c>
      <c r="D8" s="4" t="s">
        <v>3</v>
      </c>
      <c r="E8" s="4" t="s">
        <v>3</v>
      </c>
      <c r="F8" s="4" t="s">
        <v>2</v>
      </c>
      <c r="G8" s="4" t="s">
        <v>124</v>
      </c>
      <c r="H8" s="4" t="s">
        <v>143</v>
      </c>
      <c r="I8" s="4" t="s">
        <v>177</v>
      </c>
    </row>
    <row r="9" spans="1:9" s="3" customFormat="1" x14ac:dyDescent="0.3">
      <c r="A9" s="4" t="s">
        <v>122</v>
      </c>
      <c r="B9" s="4" t="s">
        <v>3</v>
      </c>
      <c r="C9" s="4" t="s">
        <v>3</v>
      </c>
      <c r="D9" s="4" t="s">
        <v>3</v>
      </c>
      <c r="E9" s="4" t="s">
        <v>3</v>
      </c>
      <c r="F9" s="4" t="s">
        <v>2</v>
      </c>
      <c r="G9" s="4" t="s">
        <v>124</v>
      </c>
      <c r="H9" s="4" t="s">
        <v>143</v>
      </c>
      <c r="I9" s="4" t="s">
        <v>148</v>
      </c>
    </row>
    <row r="10" spans="1:9" s="3" customFormat="1" x14ac:dyDescent="0.3">
      <c r="A10" s="4" t="s">
        <v>122</v>
      </c>
      <c r="B10" s="4" t="s">
        <v>3</v>
      </c>
      <c r="C10" s="4" t="s">
        <v>3</v>
      </c>
      <c r="D10" s="4" t="s">
        <v>3</v>
      </c>
      <c r="E10" s="4" t="s">
        <v>3</v>
      </c>
      <c r="F10" s="4" t="s">
        <v>2</v>
      </c>
      <c r="G10" s="4" t="s">
        <v>124</v>
      </c>
      <c r="H10" s="4" t="s">
        <v>143</v>
      </c>
      <c r="I10" s="4" t="s">
        <v>192</v>
      </c>
    </row>
    <row r="11" spans="1:9" s="3" customFormat="1" ht="43.2" x14ac:dyDescent="0.3">
      <c r="A11" s="4" t="s">
        <v>122</v>
      </c>
      <c r="B11" s="4" t="s">
        <v>3</v>
      </c>
      <c r="C11" s="4" t="s">
        <v>3</v>
      </c>
      <c r="D11" s="4" t="s">
        <v>3</v>
      </c>
      <c r="E11" s="4" t="s">
        <v>3</v>
      </c>
      <c r="F11" s="4" t="s">
        <v>2</v>
      </c>
      <c r="G11" s="4" t="s">
        <v>123</v>
      </c>
      <c r="H11" s="4" t="s">
        <v>142</v>
      </c>
      <c r="I11" s="4" t="s">
        <v>201</v>
      </c>
    </row>
    <row r="12" spans="1:9" s="3" customFormat="1" x14ac:dyDescent="0.3">
      <c r="A12" s="4" t="s">
        <v>122</v>
      </c>
      <c r="B12" s="4" t="s">
        <v>3</v>
      </c>
      <c r="C12" s="4" t="s">
        <v>3</v>
      </c>
      <c r="D12" s="4" t="s">
        <v>3</v>
      </c>
      <c r="E12" s="4" t="s">
        <v>3</v>
      </c>
      <c r="F12" s="4" t="s">
        <v>2</v>
      </c>
      <c r="G12" s="4" t="s">
        <v>123</v>
      </c>
      <c r="H12" s="4" t="s">
        <v>142</v>
      </c>
      <c r="I12" s="4" t="s">
        <v>195</v>
      </c>
    </row>
    <row r="13" spans="1:9" s="3" customFormat="1" x14ac:dyDescent="0.3">
      <c r="A13" s="4" t="s">
        <v>122</v>
      </c>
      <c r="B13" s="4" t="s">
        <v>3</v>
      </c>
      <c r="C13" s="4" t="s">
        <v>3</v>
      </c>
      <c r="D13" s="4" t="s">
        <v>3</v>
      </c>
      <c r="E13" s="4" t="s">
        <v>3</v>
      </c>
      <c r="F13" s="4" t="s">
        <v>2</v>
      </c>
      <c r="G13" s="4" t="s">
        <v>123</v>
      </c>
      <c r="H13" s="4" t="s">
        <v>142</v>
      </c>
      <c r="I13" s="4" t="s">
        <v>198</v>
      </c>
    </row>
    <row r="14" spans="1:9" s="3" customFormat="1" x14ac:dyDescent="0.3">
      <c r="A14" s="4" t="s">
        <v>122</v>
      </c>
      <c r="B14" s="4" t="s">
        <v>3</v>
      </c>
      <c r="C14" s="4" t="s">
        <v>3</v>
      </c>
      <c r="D14" s="4" t="s">
        <v>3</v>
      </c>
      <c r="E14" s="4" t="s">
        <v>3</v>
      </c>
      <c r="F14" s="4" t="s">
        <v>2</v>
      </c>
      <c r="G14" s="4" t="s">
        <v>123</v>
      </c>
      <c r="H14" s="4" t="s">
        <v>142</v>
      </c>
      <c r="I14" s="4" t="s">
        <v>196</v>
      </c>
    </row>
    <row r="15" spans="1:9" s="3" customFormat="1" ht="43.2" x14ac:dyDescent="0.3">
      <c r="A15" s="4" t="s">
        <v>122</v>
      </c>
      <c r="B15" s="4" t="s">
        <v>3</v>
      </c>
      <c r="C15" s="4" t="s">
        <v>3</v>
      </c>
      <c r="D15" s="4" t="s">
        <v>3</v>
      </c>
      <c r="E15" s="4" t="s">
        <v>3</v>
      </c>
      <c r="F15" s="4" t="s">
        <v>2</v>
      </c>
      <c r="G15" s="4" t="s">
        <v>123</v>
      </c>
      <c r="H15" s="4" t="s">
        <v>142</v>
      </c>
      <c r="I15" s="4" t="s">
        <v>199</v>
      </c>
    </row>
    <row r="16" spans="1:9" s="3" customFormat="1" x14ac:dyDescent="0.3">
      <c r="A16" s="4" t="s">
        <v>122</v>
      </c>
      <c r="B16" s="4" t="s">
        <v>3</v>
      </c>
      <c r="C16" s="4" t="s">
        <v>3</v>
      </c>
      <c r="D16" s="4" t="s">
        <v>3</v>
      </c>
      <c r="E16" s="4" t="s">
        <v>3</v>
      </c>
      <c r="F16" s="4" t="s">
        <v>2</v>
      </c>
      <c r="G16" s="4" t="s">
        <v>123</v>
      </c>
      <c r="H16" s="4" t="s">
        <v>142</v>
      </c>
      <c r="I16" s="4" t="s">
        <v>197</v>
      </c>
    </row>
    <row r="17" spans="1:9" s="3" customFormat="1" x14ac:dyDescent="0.3">
      <c r="A17" s="4" t="s">
        <v>122</v>
      </c>
      <c r="B17" s="4" t="s">
        <v>3</v>
      </c>
      <c r="C17" s="4" t="s">
        <v>3</v>
      </c>
      <c r="D17" s="4" t="s">
        <v>3</v>
      </c>
      <c r="E17" s="4" t="s">
        <v>3</v>
      </c>
      <c r="F17" s="4" t="s">
        <v>2</v>
      </c>
      <c r="G17" s="4" t="s">
        <v>123</v>
      </c>
      <c r="H17" s="4" t="s">
        <v>143</v>
      </c>
      <c r="I17" s="4" t="s">
        <v>190</v>
      </c>
    </row>
    <row r="18" spans="1:9" s="3" customFormat="1" x14ac:dyDescent="0.3">
      <c r="A18" s="4" t="s">
        <v>122</v>
      </c>
      <c r="B18" s="4" t="s">
        <v>3</v>
      </c>
      <c r="C18" s="4" t="s">
        <v>3</v>
      </c>
      <c r="D18" s="4" t="s">
        <v>3</v>
      </c>
      <c r="E18" s="4" t="s">
        <v>3</v>
      </c>
      <c r="F18" s="4" t="s">
        <v>2</v>
      </c>
      <c r="G18" s="4" t="s">
        <v>123</v>
      </c>
      <c r="H18" s="4" t="s">
        <v>143</v>
      </c>
      <c r="I18" s="4" t="s">
        <v>194</v>
      </c>
    </row>
    <row r="19" spans="1:9" s="3" customFormat="1" x14ac:dyDescent="0.3">
      <c r="A19" s="4" t="s">
        <v>122</v>
      </c>
      <c r="B19" s="4" t="s">
        <v>3</v>
      </c>
      <c r="C19" s="4" t="s">
        <v>3</v>
      </c>
      <c r="D19" s="4" t="s">
        <v>3</v>
      </c>
      <c r="E19" s="4" t="s">
        <v>3</v>
      </c>
      <c r="F19" s="4" t="s">
        <v>2</v>
      </c>
      <c r="G19" s="4" t="s">
        <v>123</v>
      </c>
      <c r="H19" s="4" t="s">
        <v>140</v>
      </c>
      <c r="I19" s="4" t="s">
        <v>194</v>
      </c>
    </row>
    <row r="20" spans="1:9" s="3" customFormat="1" x14ac:dyDescent="0.3">
      <c r="A20" s="4" t="s">
        <v>122</v>
      </c>
      <c r="B20" s="4" t="s">
        <v>3</v>
      </c>
      <c r="C20" s="4" t="s">
        <v>3</v>
      </c>
      <c r="D20" s="4" t="s">
        <v>3</v>
      </c>
      <c r="E20" s="4" t="s">
        <v>3</v>
      </c>
      <c r="F20" s="4" t="s">
        <v>2</v>
      </c>
      <c r="G20" s="4" t="s">
        <v>123</v>
      </c>
      <c r="H20" s="4" t="s">
        <v>140</v>
      </c>
      <c r="I20" s="4" t="s">
        <v>190</v>
      </c>
    </row>
    <row r="21" spans="1:9" ht="43.2" x14ac:dyDescent="0.3">
      <c r="A21" s="5" t="s">
        <v>122</v>
      </c>
      <c r="B21" s="5" t="s">
        <v>61</v>
      </c>
      <c r="C21" s="5" t="s">
        <v>133</v>
      </c>
      <c r="D21" s="9" t="s">
        <v>132</v>
      </c>
      <c r="E21" s="5" t="s">
        <v>137</v>
      </c>
      <c r="F21" s="5" t="s">
        <v>2</v>
      </c>
      <c r="G21" s="5" t="s">
        <v>205</v>
      </c>
      <c r="H21" s="5" t="s">
        <v>3</v>
      </c>
      <c r="I21" s="5" t="s">
        <v>200</v>
      </c>
    </row>
    <row r="22" spans="1:9" ht="43.2" x14ac:dyDescent="0.3">
      <c r="A22" s="5" t="s">
        <v>122</v>
      </c>
      <c r="B22" s="5" t="s">
        <v>134</v>
      </c>
      <c r="C22" s="5" t="s">
        <v>133</v>
      </c>
      <c r="D22" s="9" t="s">
        <v>132</v>
      </c>
      <c r="E22" s="5" t="s">
        <v>137</v>
      </c>
      <c r="F22" s="5" t="s">
        <v>4</v>
      </c>
      <c r="G22" s="5" t="s">
        <v>208</v>
      </c>
      <c r="H22" s="5" t="s">
        <v>138</v>
      </c>
      <c r="I22" s="5" t="s">
        <v>11</v>
      </c>
    </row>
    <row r="23" spans="1:9" ht="43.2" x14ac:dyDescent="0.3">
      <c r="A23" s="5" t="s">
        <v>122</v>
      </c>
      <c r="B23" s="5" t="s">
        <v>134</v>
      </c>
      <c r="C23" s="5" t="s">
        <v>133</v>
      </c>
      <c r="D23" s="9" t="s">
        <v>132</v>
      </c>
      <c r="E23" s="5" t="s">
        <v>137</v>
      </c>
      <c r="F23" s="5" t="s">
        <v>4</v>
      </c>
      <c r="G23" s="5" t="s">
        <v>208</v>
      </c>
      <c r="H23" s="5" t="s">
        <v>138</v>
      </c>
      <c r="I23" s="5" t="s">
        <v>147</v>
      </c>
    </row>
    <row r="24" spans="1:9" ht="43.2" x14ac:dyDescent="0.3">
      <c r="A24" s="5" t="s">
        <v>122</v>
      </c>
      <c r="B24" s="5" t="s">
        <v>135</v>
      </c>
      <c r="C24" s="5" t="s">
        <v>133</v>
      </c>
      <c r="D24" s="9" t="s">
        <v>132</v>
      </c>
      <c r="E24" s="5" t="s">
        <v>137</v>
      </c>
      <c r="F24" s="5" t="s">
        <v>4</v>
      </c>
      <c r="G24" s="5" t="s">
        <v>208</v>
      </c>
      <c r="H24" s="5" t="s">
        <v>141</v>
      </c>
      <c r="I24" s="5" t="s">
        <v>152</v>
      </c>
    </row>
    <row r="25" spans="1:9" ht="43.2" x14ac:dyDescent="0.3">
      <c r="A25" s="5" t="s">
        <v>122</v>
      </c>
      <c r="B25" s="5" t="s">
        <v>135</v>
      </c>
      <c r="C25" s="5" t="s">
        <v>133</v>
      </c>
      <c r="D25" s="9" t="s">
        <v>132</v>
      </c>
      <c r="E25" s="5" t="s">
        <v>137</v>
      </c>
      <c r="F25" s="5" t="s">
        <v>4</v>
      </c>
      <c r="G25" s="5" t="s">
        <v>208</v>
      </c>
      <c r="H25" s="5" t="s">
        <v>141</v>
      </c>
      <c r="I25" s="5" t="s">
        <v>11</v>
      </c>
    </row>
    <row r="26" spans="1:9" ht="43.2" x14ac:dyDescent="0.3">
      <c r="A26" s="5" t="s">
        <v>122</v>
      </c>
      <c r="B26" s="5" t="s">
        <v>135</v>
      </c>
      <c r="C26" s="5" t="s">
        <v>133</v>
      </c>
      <c r="D26" s="9" t="s">
        <v>132</v>
      </c>
      <c r="E26" s="5" t="s">
        <v>137</v>
      </c>
      <c r="F26" s="5" t="s">
        <v>4</v>
      </c>
      <c r="G26" s="5" t="s">
        <v>208</v>
      </c>
      <c r="H26" s="5" t="s">
        <v>141</v>
      </c>
      <c r="I26" s="5" t="s">
        <v>157</v>
      </c>
    </row>
    <row r="27" spans="1:9" ht="43.2" x14ac:dyDescent="0.3">
      <c r="A27" s="5" t="s">
        <v>122</v>
      </c>
      <c r="B27" s="5" t="s">
        <v>135</v>
      </c>
      <c r="C27" s="5" t="s">
        <v>133</v>
      </c>
      <c r="D27" s="9" t="s">
        <v>132</v>
      </c>
      <c r="E27" s="5" t="s">
        <v>137</v>
      </c>
      <c r="F27" s="5" t="s">
        <v>4</v>
      </c>
      <c r="G27" s="5" t="s">
        <v>208</v>
      </c>
      <c r="H27" s="5" t="s">
        <v>141</v>
      </c>
      <c r="I27" s="5" t="s">
        <v>147</v>
      </c>
    </row>
    <row r="28" spans="1:9" ht="43.2" x14ac:dyDescent="0.3">
      <c r="A28" s="5" t="s">
        <v>122</v>
      </c>
      <c r="B28" s="5" t="s">
        <v>135</v>
      </c>
      <c r="C28" s="5" t="s">
        <v>133</v>
      </c>
      <c r="D28" s="9" t="s">
        <v>132</v>
      </c>
      <c r="E28" s="5" t="s">
        <v>137</v>
      </c>
      <c r="F28" s="5" t="s">
        <v>4</v>
      </c>
      <c r="G28" s="5" t="s">
        <v>208</v>
      </c>
      <c r="H28" s="5" t="s">
        <v>139</v>
      </c>
      <c r="I28" s="5" t="s">
        <v>153</v>
      </c>
    </row>
    <row r="29" spans="1:9" ht="43.2" x14ac:dyDescent="0.3">
      <c r="A29" s="5" t="s">
        <v>122</v>
      </c>
      <c r="B29" s="5" t="s">
        <v>135</v>
      </c>
      <c r="C29" s="5" t="s">
        <v>133</v>
      </c>
      <c r="D29" s="9" t="s">
        <v>132</v>
      </c>
      <c r="E29" s="5" t="s">
        <v>137</v>
      </c>
      <c r="F29" s="5" t="s">
        <v>4</v>
      </c>
      <c r="G29" s="5" t="s">
        <v>208</v>
      </c>
      <c r="H29" s="5" t="s">
        <v>139</v>
      </c>
      <c r="I29" s="5" t="s">
        <v>155</v>
      </c>
    </row>
    <row r="30" spans="1:9" ht="43.2" x14ac:dyDescent="0.3">
      <c r="A30" s="5" t="s">
        <v>122</v>
      </c>
      <c r="B30" s="5" t="s">
        <v>135</v>
      </c>
      <c r="C30" s="5" t="s">
        <v>133</v>
      </c>
      <c r="D30" s="9" t="s">
        <v>132</v>
      </c>
      <c r="E30" s="5" t="s">
        <v>137</v>
      </c>
      <c r="F30" s="5" t="s">
        <v>4</v>
      </c>
      <c r="G30" s="5" t="s">
        <v>208</v>
      </c>
      <c r="H30" s="5" t="s">
        <v>139</v>
      </c>
      <c r="I30" s="5" t="s">
        <v>157</v>
      </c>
    </row>
    <row r="31" spans="1:9" ht="43.2" x14ac:dyDescent="0.3">
      <c r="A31" s="5" t="s">
        <v>122</v>
      </c>
      <c r="B31" s="5" t="s">
        <v>135</v>
      </c>
      <c r="C31" s="5" t="s">
        <v>133</v>
      </c>
      <c r="D31" s="9" t="s">
        <v>132</v>
      </c>
      <c r="E31" s="5" t="s">
        <v>137</v>
      </c>
      <c r="F31" s="5" t="s">
        <v>4</v>
      </c>
      <c r="G31" s="5" t="s">
        <v>208</v>
      </c>
      <c r="H31" s="5" t="s">
        <v>139</v>
      </c>
      <c r="I31" s="5" t="s">
        <v>147</v>
      </c>
    </row>
    <row r="32" spans="1:9" ht="43.2" x14ac:dyDescent="0.3">
      <c r="A32" s="5" t="s">
        <v>122</v>
      </c>
      <c r="B32" s="5" t="s">
        <v>59</v>
      </c>
      <c r="C32" s="5" t="s">
        <v>133</v>
      </c>
      <c r="D32" s="9" t="s">
        <v>132</v>
      </c>
      <c r="E32" s="5" t="s">
        <v>137</v>
      </c>
      <c r="F32" s="5" t="s">
        <v>4</v>
      </c>
      <c r="G32" s="5" t="s">
        <v>208</v>
      </c>
      <c r="H32" s="5" t="s">
        <v>5</v>
      </c>
      <c r="I32" s="5" t="s">
        <v>11</v>
      </c>
    </row>
    <row r="33" spans="1:9" ht="43.2" x14ac:dyDescent="0.3">
      <c r="A33" s="5" t="s">
        <v>122</v>
      </c>
      <c r="B33" s="5" t="s">
        <v>59</v>
      </c>
      <c r="C33" s="5" t="s">
        <v>133</v>
      </c>
      <c r="D33" s="9" t="s">
        <v>132</v>
      </c>
      <c r="E33" s="5" t="s">
        <v>137</v>
      </c>
      <c r="F33" s="5" t="s">
        <v>4</v>
      </c>
      <c r="G33" s="5" t="s">
        <v>208</v>
      </c>
      <c r="H33" s="5" t="s">
        <v>5</v>
      </c>
      <c r="I33" s="5" t="s">
        <v>154</v>
      </c>
    </row>
    <row r="34" spans="1:9" ht="43.2" x14ac:dyDescent="0.3">
      <c r="A34" s="5" t="s">
        <v>122</v>
      </c>
      <c r="B34" s="5" t="s">
        <v>59</v>
      </c>
      <c r="C34" s="5" t="s">
        <v>133</v>
      </c>
      <c r="D34" s="9" t="s">
        <v>132</v>
      </c>
      <c r="E34" s="5" t="s">
        <v>137</v>
      </c>
      <c r="F34" s="5" t="s">
        <v>4</v>
      </c>
      <c r="G34" s="5" t="s">
        <v>208</v>
      </c>
      <c r="H34" s="5" t="s">
        <v>5</v>
      </c>
      <c r="I34" s="5" t="s">
        <v>157</v>
      </c>
    </row>
    <row r="35" spans="1:9" ht="43.2" x14ac:dyDescent="0.3">
      <c r="A35" s="5" t="s">
        <v>122</v>
      </c>
      <c r="B35" s="5" t="s">
        <v>59</v>
      </c>
      <c r="C35" s="5" t="s">
        <v>133</v>
      </c>
      <c r="D35" s="9" t="s">
        <v>132</v>
      </c>
      <c r="E35" s="5" t="s">
        <v>137</v>
      </c>
      <c r="F35" s="5" t="s">
        <v>4</v>
      </c>
      <c r="G35" s="5" t="s">
        <v>208</v>
      </c>
      <c r="H35" s="5" t="s">
        <v>5</v>
      </c>
      <c r="I35" s="5" t="s">
        <v>147</v>
      </c>
    </row>
    <row r="36" spans="1:9" ht="43.2" x14ac:dyDescent="0.3">
      <c r="A36" s="5" t="s">
        <v>122</v>
      </c>
      <c r="B36" s="5" t="s">
        <v>135</v>
      </c>
      <c r="C36" s="5" t="s">
        <v>133</v>
      </c>
      <c r="D36" s="9" t="s">
        <v>132</v>
      </c>
      <c r="E36" s="5" t="s">
        <v>137</v>
      </c>
      <c r="F36" s="5" t="s">
        <v>4</v>
      </c>
      <c r="G36" s="5" t="s">
        <v>208</v>
      </c>
      <c r="H36" s="5" t="s">
        <v>145</v>
      </c>
      <c r="I36" s="5" t="s">
        <v>11</v>
      </c>
    </row>
    <row r="37" spans="1:9" ht="43.2" x14ac:dyDescent="0.3">
      <c r="A37" s="5" t="s">
        <v>122</v>
      </c>
      <c r="B37" s="5" t="s">
        <v>135</v>
      </c>
      <c r="C37" s="5" t="s">
        <v>133</v>
      </c>
      <c r="D37" s="9" t="s">
        <v>132</v>
      </c>
      <c r="E37" s="5" t="s">
        <v>137</v>
      </c>
      <c r="F37" s="5" t="s">
        <v>4</v>
      </c>
      <c r="G37" s="5" t="s">
        <v>208</v>
      </c>
      <c r="H37" s="5" t="s">
        <v>145</v>
      </c>
      <c r="I37" s="5" t="s">
        <v>207</v>
      </c>
    </row>
    <row r="38" spans="1:9" ht="43.2" x14ac:dyDescent="0.3">
      <c r="A38" s="5" t="s">
        <v>122</v>
      </c>
      <c r="B38" s="5" t="s">
        <v>135</v>
      </c>
      <c r="C38" s="5" t="s">
        <v>133</v>
      </c>
      <c r="D38" s="9" t="s">
        <v>132</v>
      </c>
      <c r="E38" s="5" t="s">
        <v>137</v>
      </c>
      <c r="F38" s="5" t="s">
        <v>4</v>
      </c>
      <c r="G38" s="5" t="s">
        <v>208</v>
      </c>
      <c r="H38" s="5" t="s">
        <v>145</v>
      </c>
      <c r="I38" s="5" t="s">
        <v>147</v>
      </c>
    </row>
    <row r="39" spans="1:9" ht="43.2" x14ac:dyDescent="0.3">
      <c r="A39" s="5" t="s">
        <v>122</v>
      </c>
      <c r="B39" s="5" t="s">
        <v>135</v>
      </c>
      <c r="C39" s="5" t="s">
        <v>133</v>
      </c>
      <c r="D39" s="9" t="s">
        <v>132</v>
      </c>
      <c r="E39" s="5" t="s">
        <v>137</v>
      </c>
      <c r="F39" s="5" t="s">
        <v>4</v>
      </c>
      <c r="G39" s="5" t="s">
        <v>208</v>
      </c>
      <c r="H39" s="5" t="s">
        <v>145</v>
      </c>
      <c r="I39" s="5" t="s">
        <v>154</v>
      </c>
    </row>
    <row r="40" spans="1:9" ht="43.2" x14ac:dyDescent="0.3">
      <c r="A40" s="5" t="s">
        <v>122</v>
      </c>
      <c r="B40" s="5" t="s">
        <v>136</v>
      </c>
      <c r="C40" s="5" t="s">
        <v>133</v>
      </c>
      <c r="D40" s="9" t="s">
        <v>132</v>
      </c>
      <c r="E40" s="5" t="s">
        <v>137</v>
      </c>
      <c r="F40" s="5" t="s">
        <v>4</v>
      </c>
      <c r="G40" s="5" t="s">
        <v>208</v>
      </c>
      <c r="H40" s="5" t="s">
        <v>146</v>
      </c>
      <c r="I40" s="5" t="s">
        <v>6</v>
      </c>
    </row>
    <row r="41" spans="1:9" ht="43.2" x14ac:dyDescent="0.3">
      <c r="A41" s="5" t="s">
        <v>122</v>
      </c>
      <c r="B41" s="5" t="s">
        <v>136</v>
      </c>
      <c r="C41" s="5" t="s">
        <v>133</v>
      </c>
      <c r="D41" s="9" t="s">
        <v>132</v>
      </c>
      <c r="E41" s="5" t="s">
        <v>137</v>
      </c>
      <c r="F41" s="5" t="s">
        <v>4</v>
      </c>
      <c r="G41" s="5" t="s">
        <v>208</v>
      </c>
      <c r="H41" s="5" t="s">
        <v>146</v>
      </c>
      <c r="I41" s="5" t="s">
        <v>157</v>
      </c>
    </row>
    <row r="42" spans="1:9" ht="43.2" x14ac:dyDescent="0.3">
      <c r="A42" s="5" t="s">
        <v>122</v>
      </c>
      <c r="B42" s="5" t="s">
        <v>136</v>
      </c>
      <c r="C42" s="5" t="s">
        <v>133</v>
      </c>
      <c r="D42" s="9" t="s">
        <v>132</v>
      </c>
      <c r="E42" s="5" t="s">
        <v>137</v>
      </c>
      <c r="F42" s="5" t="s">
        <v>4</v>
      </c>
      <c r="G42" s="5" t="s">
        <v>208</v>
      </c>
      <c r="H42" s="5" t="s">
        <v>146</v>
      </c>
      <c r="I42" s="5" t="s">
        <v>159</v>
      </c>
    </row>
    <row r="43" spans="1:9" ht="43.2" x14ac:dyDescent="0.3">
      <c r="A43" s="5" t="s">
        <v>122</v>
      </c>
      <c r="B43" s="5" t="s">
        <v>134</v>
      </c>
      <c r="C43" s="5" t="s">
        <v>133</v>
      </c>
      <c r="D43" s="9" t="s">
        <v>132</v>
      </c>
      <c r="E43" s="5" t="s">
        <v>137</v>
      </c>
      <c r="F43" s="5" t="s">
        <v>4</v>
      </c>
      <c r="G43" s="5" t="s">
        <v>208</v>
      </c>
      <c r="H43" s="5" t="s">
        <v>138</v>
      </c>
      <c r="I43" s="5" t="s">
        <v>288</v>
      </c>
    </row>
    <row r="44" spans="1:9" ht="43.2" x14ac:dyDescent="0.3">
      <c r="A44" s="5" t="s">
        <v>122</v>
      </c>
      <c r="B44" s="5" t="s">
        <v>134</v>
      </c>
      <c r="C44" s="5" t="s">
        <v>133</v>
      </c>
      <c r="D44" s="9" t="s">
        <v>132</v>
      </c>
      <c r="E44" s="5" t="s">
        <v>137</v>
      </c>
      <c r="F44" s="5" t="s">
        <v>4</v>
      </c>
      <c r="G44" s="5" t="s">
        <v>208</v>
      </c>
      <c r="H44" s="5" t="s">
        <v>141</v>
      </c>
      <c r="I44" s="5" t="s">
        <v>288</v>
      </c>
    </row>
    <row r="45" spans="1:9" ht="43.2" x14ac:dyDescent="0.3">
      <c r="A45" s="5" t="s">
        <v>122</v>
      </c>
      <c r="B45" s="5" t="s">
        <v>134</v>
      </c>
      <c r="C45" s="5" t="s">
        <v>133</v>
      </c>
      <c r="D45" s="9" t="s">
        <v>132</v>
      </c>
      <c r="E45" s="5" t="s">
        <v>137</v>
      </c>
      <c r="F45" s="5" t="s">
        <v>4</v>
      </c>
      <c r="G45" s="5" t="s">
        <v>208</v>
      </c>
      <c r="H45" s="5" t="s">
        <v>139</v>
      </c>
      <c r="I45" s="5" t="s">
        <v>288</v>
      </c>
    </row>
    <row r="46" spans="1:9" ht="43.2" x14ac:dyDescent="0.3">
      <c r="A46" s="5" t="s">
        <v>122</v>
      </c>
      <c r="B46" s="5" t="s">
        <v>134</v>
      </c>
      <c r="C46" s="5" t="s">
        <v>133</v>
      </c>
      <c r="D46" s="9" t="s">
        <v>132</v>
      </c>
      <c r="E46" s="5" t="s">
        <v>137</v>
      </c>
      <c r="F46" s="5" t="s">
        <v>4</v>
      </c>
      <c r="G46" s="5" t="s">
        <v>208</v>
      </c>
      <c r="H46" s="5" t="s">
        <v>5</v>
      </c>
      <c r="I46" s="5" t="s">
        <v>288</v>
      </c>
    </row>
    <row r="47" spans="1:9" ht="43.2" x14ac:dyDescent="0.3">
      <c r="A47" s="5" t="s">
        <v>122</v>
      </c>
      <c r="B47" s="5" t="s">
        <v>134</v>
      </c>
      <c r="C47" s="5" t="s">
        <v>133</v>
      </c>
      <c r="D47" s="9" t="s">
        <v>132</v>
      </c>
      <c r="E47" s="5" t="s">
        <v>137</v>
      </c>
      <c r="F47" s="5" t="s">
        <v>4</v>
      </c>
      <c r="G47" s="5" t="s">
        <v>208</v>
      </c>
      <c r="H47" s="5" t="s">
        <v>140</v>
      </c>
      <c r="I47" s="5" t="s">
        <v>288</v>
      </c>
    </row>
    <row r="48" spans="1:9" ht="43.2" x14ac:dyDescent="0.3">
      <c r="A48" s="5" t="s">
        <v>122</v>
      </c>
      <c r="B48" s="5" t="s">
        <v>134</v>
      </c>
      <c r="C48" s="5" t="s">
        <v>133</v>
      </c>
      <c r="D48" s="9" t="s">
        <v>132</v>
      </c>
      <c r="E48" s="5" t="s">
        <v>137</v>
      </c>
      <c r="F48" s="5" t="s">
        <v>4</v>
      </c>
      <c r="G48" s="5" t="s">
        <v>208</v>
      </c>
      <c r="H48" s="5" t="s">
        <v>144</v>
      </c>
      <c r="I48" s="5" t="s">
        <v>288</v>
      </c>
    </row>
    <row r="49" spans="1:9" ht="43.2" x14ac:dyDescent="0.3">
      <c r="A49" s="5" t="s">
        <v>122</v>
      </c>
      <c r="B49" s="5" t="s">
        <v>135</v>
      </c>
      <c r="C49" s="5" t="s">
        <v>133</v>
      </c>
      <c r="D49" s="9" t="s">
        <v>132</v>
      </c>
      <c r="E49" s="5" t="s">
        <v>137</v>
      </c>
      <c r="F49" s="5" t="s">
        <v>4</v>
      </c>
      <c r="G49" s="5" t="s">
        <v>208</v>
      </c>
      <c r="H49" s="5" t="s">
        <v>140</v>
      </c>
      <c r="I49" s="5" t="s">
        <v>11</v>
      </c>
    </row>
    <row r="50" spans="1:9" ht="43.2" x14ac:dyDescent="0.3">
      <c r="A50" s="5" t="s">
        <v>122</v>
      </c>
      <c r="B50" s="5" t="s">
        <v>135</v>
      </c>
      <c r="C50" s="5" t="s">
        <v>133</v>
      </c>
      <c r="D50" s="9" t="s">
        <v>132</v>
      </c>
      <c r="E50" s="5" t="s">
        <v>137</v>
      </c>
      <c r="F50" s="5" t="s">
        <v>4</v>
      </c>
      <c r="G50" s="5" t="s">
        <v>267</v>
      </c>
      <c r="H50" s="5" t="s">
        <v>141</v>
      </c>
      <c r="I50" s="5" t="s">
        <v>7</v>
      </c>
    </row>
    <row r="51" spans="1:9" ht="43.2" x14ac:dyDescent="0.3">
      <c r="A51" s="5" t="s">
        <v>122</v>
      </c>
      <c r="B51" s="5" t="s">
        <v>135</v>
      </c>
      <c r="C51" s="5" t="s">
        <v>133</v>
      </c>
      <c r="D51" s="9" t="s">
        <v>132</v>
      </c>
      <c r="E51" s="5" t="s">
        <v>137</v>
      </c>
      <c r="F51" s="5" t="s">
        <v>4</v>
      </c>
      <c r="G51" s="5" t="s">
        <v>267</v>
      </c>
      <c r="H51" s="5" t="s">
        <v>141</v>
      </c>
      <c r="I51" s="5" t="s">
        <v>152</v>
      </c>
    </row>
    <row r="52" spans="1:9" ht="43.2" x14ac:dyDescent="0.3">
      <c r="A52" s="5" t="s">
        <v>122</v>
      </c>
      <c r="B52" s="5" t="s">
        <v>135</v>
      </c>
      <c r="C52" s="5" t="s">
        <v>133</v>
      </c>
      <c r="D52" s="9" t="s">
        <v>132</v>
      </c>
      <c r="E52" s="5" t="s">
        <v>137</v>
      </c>
      <c r="F52" s="5" t="s">
        <v>4</v>
      </c>
      <c r="G52" s="5" t="s">
        <v>267</v>
      </c>
      <c r="H52" s="5" t="s">
        <v>139</v>
      </c>
      <c r="I52" s="5" t="s">
        <v>7</v>
      </c>
    </row>
    <row r="53" spans="1:9" ht="43.2" x14ac:dyDescent="0.3">
      <c r="A53" s="5" t="s">
        <v>122</v>
      </c>
      <c r="B53" s="5" t="s">
        <v>135</v>
      </c>
      <c r="C53" s="5" t="s">
        <v>133</v>
      </c>
      <c r="D53" s="9" t="s">
        <v>132</v>
      </c>
      <c r="E53" s="5" t="s">
        <v>137</v>
      </c>
      <c r="F53" s="5" t="s">
        <v>4</v>
      </c>
      <c r="G53" s="5" t="s">
        <v>267</v>
      </c>
      <c r="H53" s="5" t="s">
        <v>139</v>
      </c>
      <c r="I53" s="5" t="s">
        <v>153</v>
      </c>
    </row>
    <row r="54" spans="1:9" ht="43.2" x14ac:dyDescent="0.3">
      <c r="A54" s="5" t="s">
        <v>122</v>
      </c>
      <c r="B54" s="5" t="s">
        <v>135</v>
      </c>
      <c r="C54" s="5" t="s">
        <v>133</v>
      </c>
      <c r="D54" s="9" t="s">
        <v>132</v>
      </c>
      <c r="E54" s="5" t="s">
        <v>137</v>
      </c>
      <c r="F54" s="5" t="s">
        <v>4</v>
      </c>
      <c r="G54" s="5" t="s">
        <v>267</v>
      </c>
      <c r="H54" s="5" t="s">
        <v>139</v>
      </c>
      <c r="I54" s="5" t="s">
        <v>155</v>
      </c>
    </row>
    <row r="55" spans="1:9" ht="43.2" x14ac:dyDescent="0.3">
      <c r="A55" s="5" t="s">
        <v>122</v>
      </c>
      <c r="B55" s="5" t="s">
        <v>136</v>
      </c>
      <c r="C55" s="5" t="s">
        <v>133</v>
      </c>
      <c r="D55" s="9" t="s">
        <v>132</v>
      </c>
      <c r="E55" s="5" t="s">
        <v>137</v>
      </c>
      <c r="F55" s="5" t="s">
        <v>4</v>
      </c>
      <c r="G55" s="5" t="s">
        <v>267</v>
      </c>
      <c r="H55" s="5" t="s">
        <v>5</v>
      </c>
      <c r="I55" s="5" t="s">
        <v>154</v>
      </c>
    </row>
    <row r="56" spans="1:9" ht="43.2" x14ac:dyDescent="0.3">
      <c r="A56" s="5" t="s">
        <v>122</v>
      </c>
      <c r="B56" s="5" t="s">
        <v>136</v>
      </c>
      <c r="C56" s="5" t="s">
        <v>133</v>
      </c>
      <c r="D56" s="9" t="s">
        <v>132</v>
      </c>
      <c r="E56" s="5" t="s">
        <v>137</v>
      </c>
      <c r="F56" s="5" t="s">
        <v>4</v>
      </c>
      <c r="G56" s="5" t="s">
        <v>267</v>
      </c>
      <c r="H56" s="5" t="s">
        <v>5</v>
      </c>
      <c r="I56" s="5" t="s">
        <v>6</v>
      </c>
    </row>
    <row r="57" spans="1:9" ht="43.2" x14ac:dyDescent="0.3">
      <c r="A57" s="5" t="s">
        <v>122</v>
      </c>
      <c r="B57" s="5" t="s">
        <v>136</v>
      </c>
      <c r="C57" s="5" t="s">
        <v>133</v>
      </c>
      <c r="D57" s="9" t="s">
        <v>132</v>
      </c>
      <c r="E57" s="5" t="s">
        <v>137</v>
      </c>
      <c r="F57" s="5" t="s">
        <v>4</v>
      </c>
      <c r="G57" s="5" t="s">
        <v>267</v>
      </c>
      <c r="H57" s="5" t="s">
        <v>146</v>
      </c>
      <c r="I57" s="5" t="s">
        <v>6</v>
      </c>
    </row>
    <row r="58" spans="1:9" ht="43.2" x14ac:dyDescent="0.3">
      <c r="A58" s="5" t="s">
        <v>122</v>
      </c>
      <c r="B58" s="5" t="s">
        <v>59</v>
      </c>
      <c r="C58" s="5" t="s">
        <v>133</v>
      </c>
      <c r="D58" s="9" t="s">
        <v>132</v>
      </c>
      <c r="E58" s="5" t="s">
        <v>137</v>
      </c>
      <c r="F58" s="5" t="s">
        <v>4</v>
      </c>
      <c r="G58" s="5" t="s">
        <v>263</v>
      </c>
      <c r="H58" s="5" t="s">
        <v>3</v>
      </c>
      <c r="I58" s="5" t="s">
        <v>160</v>
      </c>
    </row>
    <row r="59" spans="1:9" ht="43.2" x14ac:dyDescent="0.3">
      <c r="A59" s="5" t="s">
        <v>122</v>
      </c>
      <c r="B59" s="5" t="s">
        <v>59</v>
      </c>
      <c r="C59" s="5" t="s">
        <v>133</v>
      </c>
      <c r="D59" s="9" t="s">
        <v>132</v>
      </c>
      <c r="E59" s="5" t="s">
        <v>137</v>
      </c>
      <c r="F59" s="5" t="s">
        <v>4</v>
      </c>
      <c r="G59" s="5" t="s">
        <v>263</v>
      </c>
      <c r="H59" s="5" t="s">
        <v>3</v>
      </c>
      <c r="I59" s="5" t="s">
        <v>162</v>
      </c>
    </row>
    <row r="60" spans="1:9" ht="43.2" x14ac:dyDescent="0.3">
      <c r="A60" s="5" t="s">
        <v>122</v>
      </c>
      <c r="B60" s="5" t="s">
        <v>59</v>
      </c>
      <c r="C60" s="5" t="s">
        <v>133</v>
      </c>
      <c r="D60" s="9" t="s">
        <v>132</v>
      </c>
      <c r="E60" s="5" t="s">
        <v>137</v>
      </c>
      <c r="F60" s="5" t="s">
        <v>4</v>
      </c>
      <c r="G60" s="5" t="s">
        <v>263</v>
      </c>
      <c r="H60" s="5" t="s">
        <v>3</v>
      </c>
      <c r="I60" s="5" t="s">
        <v>161</v>
      </c>
    </row>
    <row r="61" spans="1:9" ht="43.2" x14ac:dyDescent="0.3">
      <c r="A61" s="5" t="s">
        <v>122</v>
      </c>
      <c r="B61" s="5" t="s">
        <v>59</v>
      </c>
      <c r="C61" s="5" t="s">
        <v>133</v>
      </c>
      <c r="D61" s="9" t="s">
        <v>132</v>
      </c>
      <c r="E61" s="5" t="s">
        <v>137</v>
      </c>
      <c r="F61" s="5" t="s">
        <v>4</v>
      </c>
      <c r="G61" s="5" t="s">
        <v>263</v>
      </c>
      <c r="H61" s="5" t="s">
        <v>3</v>
      </c>
      <c r="I61" s="5" t="s">
        <v>163</v>
      </c>
    </row>
    <row r="62" spans="1:9" ht="43.2" x14ac:dyDescent="0.3">
      <c r="A62" s="5" t="s">
        <v>122</v>
      </c>
      <c r="B62" s="5" t="s">
        <v>59</v>
      </c>
      <c r="C62" s="5" t="s">
        <v>133</v>
      </c>
      <c r="D62" s="9" t="s">
        <v>132</v>
      </c>
      <c r="E62" s="5" t="s">
        <v>137</v>
      </c>
      <c r="F62" s="5" t="s">
        <v>4</v>
      </c>
      <c r="G62" s="5" t="s">
        <v>263</v>
      </c>
      <c r="H62" s="5" t="s">
        <v>3</v>
      </c>
      <c r="I62" s="5" t="s">
        <v>158</v>
      </c>
    </row>
    <row r="63" spans="1:9" ht="43.2" x14ac:dyDescent="0.3">
      <c r="A63" s="5" t="s">
        <v>122</v>
      </c>
      <c r="B63" s="5" t="s">
        <v>59</v>
      </c>
      <c r="C63" s="5" t="s">
        <v>133</v>
      </c>
      <c r="D63" s="9" t="s">
        <v>132</v>
      </c>
      <c r="E63" s="5" t="s">
        <v>137</v>
      </c>
      <c r="F63" s="5" t="s">
        <v>4</v>
      </c>
      <c r="G63" s="5" t="s">
        <v>263</v>
      </c>
      <c r="H63" s="5" t="s">
        <v>3</v>
      </c>
      <c r="I63" s="5" t="s">
        <v>289</v>
      </c>
    </row>
    <row r="64" spans="1:9" ht="43.2" x14ac:dyDescent="0.3">
      <c r="A64" s="5" t="s">
        <v>122</v>
      </c>
      <c r="B64" s="5" t="s">
        <v>59</v>
      </c>
      <c r="C64" s="5" t="s">
        <v>133</v>
      </c>
      <c r="D64" s="9" t="s">
        <v>132</v>
      </c>
      <c r="E64" s="5" t="s">
        <v>137</v>
      </c>
      <c r="F64" s="5" t="s">
        <v>4</v>
      </c>
      <c r="G64" s="5" t="s">
        <v>263</v>
      </c>
      <c r="H64" s="5" t="s">
        <v>3</v>
      </c>
      <c r="I64" s="5" t="s">
        <v>290</v>
      </c>
    </row>
    <row r="65" spans="1:9" ht="43.2" x14ac:dyDescent="0.3">
      <c r="A65" s="5" t="s">
        <v>122</v>
      </c>
      <c r="B65" s="5" t="s">
        <v>291</v>
      </c>
      <c r="C65" s="5" t="s">
        <v>133</v>
      </c>
      <c r="D65" s="9" t="s">
        <v>132</v>
      </c>
      <c r="E65" s="5" t="s">
        <v>137</v>
      </c>
      <c r="F65" s="5" t="s">
        <v>4</v>
      </c>
      <c r="G65" s="5" t="s">
        <v>263</v>
      </c>
      <c r="H65" s="5" t="s">
        <v>3</v>
      </c>
      <c r="I65" s="5" t="s">
        <v>292</v>
      </c>
    </row>
    <row r="66" spans="1:9" ht="43.2" x14ac:dyDescent="0.3">
      <c r="A66" s="5" t="s">
        <v>122</v>
      </c>
      <c r="B66" s="5" t="s">
        <v>59</v>
      </c>
      <c r="C66" s="5" t="s">
        <v>133</v>
      </c>
      <c r="D66" s="9" t="s">
        <v>132</v>
      </c>
      <c r="E66" s="5" t="s">
        <v>137</v>
      </c>
      <c r="F66" s="5" t="s">
        <v>4</v>
      </c>
      <c r="G66" s="5" t="s">
        <v>263</v>
      </c>
      <c r="H66" s="5" t="s">
        <v>3</v>
      </c>
      <c r="I66" s="5" t="s">
        <v>293</v>
      </c>
    </row>
    <row r="67" spans="1:9" ht="43.2" x14ac:dyDescent="0.3">
      <c r="A67" s="5" t="s">
        <v>122</v>
      </c>
      <c r="B67" s="5" t="s">
        <v>59</v>
      </c>
      <c r="C67" s="5" t="s">
        <v>133</v>
      </c>
      <c r="D67" s="9" t="s">
        <v>132</v>
      </c>
      <c r="E67" s="5" t="s">
        <v>137</v>
      </c>
      <c r="F67" s="5" t="s">
        <v>4</v>
      </c>
      <c r="G67" s="5" t="s">
        <v>263</v>
      </c>
      <c r="H67" s="5" t="s">
        <v>3</v>
      </c>
      <c r="I67" s="5" t="s">
        <v>294</v>
      </c>
    </row>
    <row r="68" spans="1:9" ht="43.2" x14ac:dyDescent="0.3">
      <c r="A68" s="5" t="s">
        <v>122</v>
      </c>
      <c r="B68" s="5" t="s">
        <v>59</v>
      </c>
      <c r="C68" s="5" t="s">
        <v>133</v>
      </c>
      <c r="D68" s="9" t="s">
        <v>132</v>
      </c>
      <c r="E68" s="5" t="s">
        <v>137</v>
      </c>
      <c r="F68" s="5" t="s">
        <v>4</v>
      </c>
      <c r="G68" s="5" t="s">
        <v>263</v>
      </c>
      <c r="H68" s="5" t="s">
        <v>3</v>
      </c>
      <c r="I68" s="5" t="s">
        <v>295</v>
      </c>
    </row>
    <row r="69" spans="1:9" ht="43.2" x14ac:dyDescent="0.3">
      <c r="A69" s="5" t="s">
        <v>122</v>
      </c>
      <c r="B69" s="5" t="s">
        <v>59</v>
      </c>
      <c r="C69" s="5" t="s">
        <v>133</v>
      </c>
      <c r="D69" s="9" t="s">
        <v>132</v>
      </c>
      <c r="E69" s="5" t="s">
        <v>137</v>
      </c>
      <c r="F69" s="5" t="s">
        <v>4</v>
      </c>
      <c r="G69" s="5" t="s">
        <v>263</v>
      </c>
      <c r="H69" s="5" t="s">
        <v>3</v>
      </c>
      <c r="I69" s="5" t="s">
        <v>296</v>
      </c>
    </row>
    <row r="70" spans="1:9" ht="43.2" x14ac:dyDescent="0.3">
      <c r="A70" s="5" t="s">
        <v>122</v>
      </c>
      <c r="B70" s="5" t="s">
        <v>59</v>
      </c>
      <c r="C70" s="5" t="s">
        <v>133</v>
      </c>
      <c r="D70" s="9" t="s">
        <v>132</v>
      </c>
      <c r="E70" s="5" t="s">
        <v>137</v>
      </c>
      <c r="F70" s="5" t="s">
        <v>8</v>
      </c>
      <c r="G70" s="5" t="s">
        <v>204</v>
      </c>
      <c r="H70" s="5" t="s">
        <v>138</v>
      </c>
      <c r="I70" s="5" t="s">
        <v>11</v>
      </c>
    </row>
    <row r="71" spans="1:9" ht="43.2" x14ac:dyDescent="0.3">
      <c r="A71" s="5" t="s">
        <v>122</v>
      </c>
      <c r="B71" s="5" t="s">
        <v>59</v>
      </c>
      <c r="C71" s="5" t="s">
        <v>133</v>
      </c>
      <c r="D71" s="9" t="s">
        <v>132</v>
      </c>
      <c r="E71" s="5" t="s">
        <v>137</v>
      </c>
      <c r="F71" s="5" t="s">
        <v>8</v>
      </c>
      <c r="G71" s="5" t="s">
        <v>204</v>
      </c>
      <c r="H71" s="5" t="s">
        <v>138</v>
      </c>
      <c r="I71" s="5" t="s">
        <v>147</v>
      </c>
    </row>
    <row r="72" spans="1:9" ht="43.2" x14ac:dyDescent="0.3">
      <c r="A72" s="5" t="s">
        <v>122</v>
      </c>
      <c r="B72" s="5" t="s">
        <v>135</v>
      </c>
      <c r="C72" s="5" t="s">
        <v>133</v>
      </c>
      <c r="D72" s="9" t="s">
        <v>132</v>
      </c>
      <c r="E72" s="5" t="s">
        <v>137</v>
      </c>
      <c r="F72" s="5" t="s">
        <v>8</v>
      </c>
      <c r="G72" s="5" t="s">
        <v>204</v>
      </c>
      <c r="H72" s="5" t="s">
        <v>141</v>
      </c>
      <c r="I72" s="5" t="s">
        <v>152</v>
      </c>
    </row>
    <row r="73" spans="1:9" ht="43.2" x14ac:dyDescent="0.3">
      <c r="A73" s="5" t="s">
        <v>122</v>
      </c>
      <c r="B73" s="5" t="s">
        <v>135</v>
      </c>
      <c r="C73" s="5" t="s">
        <v>133</v>
      </c>
      <c r="D73" s="9" t="s">
        <v>132</v>
      </c>
      <c r="E73" s="5" t="s">
        <v>137</v>
      </c>
      <c r="F73" s="5" t="s">
        <v>8</v>
      </c>
      <c r="G73" s="5" t="s">
        <v>204</v>
      </c>
      <c r="H73" s="5" t="s">
        <v>141</v>
      </c>
      <c r="I73" s="5" t="s">
        <v>11</v>
      </c>
    </row>
    <row r="74" spans="1:9" ht="43.2" x14ac:dyDescent="0.3">
      <c r="A74" s="5" t="s">
        <v>122</v>
      </c>
      <c r="B74" s="5" t="s">
        <v>135</v>
      </c>
      <c r="C74" s="5" t="s">
        <v>133</v>
      </c>
      <c r="D74" s="9" t="s">
        <v>132</v>
      </c>
      <c r="E74" s="5" t="s">
        <v>137</v>
      </c>
      <c r="F74" s="5" t="s">
        <v>8</v>
      </c>
      <c r="G74" s="5" t="s">
        <v>204</v>
      </c>
      <c r="H74" s="5" t="s">
        <v>141</v>
      </c>
      <c r="I74" s="5" t="s">
        <v>157</v>
      </c>
    </row>
    <row r="75" spans="1:9" ht="43.2" x14ac:dyDescent="0.3">
      <c r="A75" s="5" t="s">
        <v>122</v>
      </c>
      <c r="B75" s="5" t="s">
        <v>135</v>
      </c>
      <c r="C75" s="5" t="s">
        <v>133</v>
      </c>
      <c r="D75" s="9" t="s">
        <v>132</v>
      </c>
      <c r="E75" s="5" t="s">
        <v>137</v>
      </c>
      <c r="F75" s="5" t="s">
        <v>8</v>
      </c>
      <c r="G75" s="5" t="s">
        <v>204</v>
      </c>
      <c r="H75" s="5" t="s">
        <v>141</v>
      </c>
      <c r="I75" s="5" t="s">
        <v>147</v>
      </c>
    </row>
    <row r="76" spans="1:9" ht="43.2" x14ac:dyDescent="0.3">
      <c r="A76" s="5" t="s">
        <v>122</v>
      </c>
      <c r="B76" s="5" t="s">
        <v>135</v>
      </c>
      <c r="C76" s="5" t="s">
        <v>133</v>
      </c>
      <c r="D76" s="9" t="s">
        <v>132</v>
      </c>
      <c r="E76" s="5" t="s">
        <v>137</v>
      </c>
      <c r="F76" s="5" t="s">
        <v>8</v>
      </c>
      <c r="G76" s="5" t="s">
        <v>204</v>
      </c>
      <c r="H76" s="5" t="s">
        <v>139</v>
      </c>
      <c r="I76" s="5" t="s">
        <v>153</v>
      </c>
    </row>
    <row r="77" spans="1:9" ht="43.2" x14ac:dyDescent="0.3">
      <c r="A77" s="5" t="s">
        <v>122</v>
      </c>
      <c r="B77" s="5" t="s">
        <v>135</v>
      </c>
      <c r="C77" s="5" t="s">
        <v>133</v>
      </c>
      <c r="D77" s="9" t="s">
        <v>132</v>
      </c>
      <c r="E77" s="5" t="s">
        <v>137</v>
      </c>
      <c r="F77" s="5" t="s">
        <v>8</v>
      </c>
      <c r="G77" s="5" t="s">
        <v>204</v>
      </c>
      <c r="H77" s="5" t="s">
        <v>139</v>
      </c>
      <c r="I77" s="5" t="s">
        <v>155</v>
      </c>
    </row>
    <row r="78" spans="1:9" ht="43.2" x14ac:dyDescent="0.3">
      <c r="A78" s="5" t="s">
        <v>122</v>
      </c>
      <c r="B78" s="5" t="s">
        <v>135</v>
      </c>
      <c r="C78" s="5" t="s">
        <v>133</v>
      </c>
      <c r="D78" s="9" t="s">
        <v>132</v>
      </c>
      <c r="E78" s="5" t="s">
        <v>137</v>
      </c>
      <c r="F78" s="5" t="s">
        <v>8</v>
      </c>
      <c r="G78" s="5" t="s">
        <v>204</v>
      </c>
      <c r="H78" s="5" t="s">
        <v>139</v>
      </c>
      <c r="I78" s="5" t="s">
        <v>157</v>
      </c>
    </row>
    <row r="79" spans="1:9" ht="43.2" x14ac:dyDescent="0.3">
      <c r="A79" s="5" t="s">
        <v>122</v>
      </c>
      <c r="B79" s="5" t="s">
        <v>135</v>
      </c>
      <c r="C79" s="5" t="s">
        <v>133</v>
      </c>
      <c r="D79" s="9" t="s">
        <v>132</v>
      </c>
      <c r="E79" s="5" t="s">
        <v>137</v>
      </c>
      <c r="F79" s="5" t="s">
        <v>8</v>
      </c>
      <c r="G79" s="5" t="s">
        <v>204</v>
      </c>
      <c r="H79" s="5" t="s">
        <v>139</v>
      </c>
      <c r="I79" s="5" t="s">
        <v>147</v>
      </c>
    </row>
    <row r="80" spans="1:9" ht="43.2" x14ac:dyDescent="0.3">
      <c r="A80" s="5" t="s">
        <v>122</v>
      </c>
      <c r="B80" s="5" t="s">
        <v>59</v>
      </c>
      <c r="C80" s="5" t="s">
        <v>133</v>
      </c>
      <c r="D80" s="9" t="s">
        <v>132</v>
      </c>
      <c r="E80" s="5" t="s">
        <v>137</v>
      </c>
      <c r="F80" s="5" t="s">
        <v>8</v>
      </c>
      <c r="G80" s="5" t="s">
        <v>204</v>
      </c>
      <c r="H80" s="5" t="s">
        <v>5</v>
      </c>
      <c r="I80" s="5" t="s">
        <v>11</v>
      </c>
    </row>
    <row r="81" spans="1:9" ht="43.2" x14ac:dyDescent="0.3">
      <c r="A81" s="5" t="s">
        <v>122</v>
      </c>
      <c r="B81" s="5" t="s">
        <v>59</v>
      </c>
      <c r="C81" s="5" t="s">
        <v>133</v>
      </c>
      <c r="D81" s="9" t="s">
        <v>132</v>
      </c>
      <c r="E81" s="5" t="s">
        <v>137</v>
      </c>
      <c r="F81" s="5" t="s">
        <v>8</v>
      </c>
      <c r="G81" s="5" t="s">
        <v>204</v>
      </c>
      <c r="H81" s="5" t="s">
        <v>5</v>
      </c>
      <c r="I81" s="5" t="s">
        <v>154</v>
      </c>
    </row>
    <row r="82" spans="1:9" ht="43.2" x14ac:dyDescent="0.3">
      <c r="A82" s="5" t="s">
        <v>122</v>
      </c>
      <c r="B82" s="5" t="s">
        <v>59</v>
      </c>
      <c r="C82" s="5" t="s">
        <v>133</v>
      </c>
      <c r="D82" s="9" t="s">
        <v>132</v>
      </c>
      <c r="E82" s="5" t="s">
        <v>137</v>
      </c>
      <c r="F82" s="5" t="s">
        <v>8</v>
      </c>
      <c r="G82" s="5" t="s">
        <v>204</v>
      </c>
      <c r="H82" s="5" t="s">
        <v>5</v>
      </c>
      <c r="I82" s="5" t="s">
        <v>157</v>
      </c>
    </row>
    <row r="83" spans="1:9" ht="43.2" x14ac:dyDescent="0.3">
      <c r="A83" s="5" t="s">
        <v>122</v>
      </c>
      <c r="B83" s="5" t="s">
        <v>59</v>
      </c>
      <c r="C83" s="5" t="s">
        <v>133</v>
      </c>
      <c r="D83" s="9" t="s">
        <v>132</v>
      </c>
      <c r="E83" s="5" t="s">
        <v>137</v>
      </c>
      <c r="F83" s="5" t="s">
        <v>8</v>
      </c>
      <c r="G83" s="5" t="s">
        <v>204</v>
      </c>
      <c r="H83" s="5" t="s">
        <v>5</v>
      </c>
      <c r="I83" s="5" t="s">
        <v>147</v>
      </c>
    </row>
    <row r="84" spans="1:9" ht="43.2" x14ac:dyDescent="0.3">
      <c r="A84" s="5" t="s">
        <v>122</v>
      </c>
      <c r="B84" s="5" t="s">
        <v>135</v>
      </c>
      <c r="C84" s="5" t="s">
        <v>133</v>
      </c>
      <c r="D84" s="9" t="s">
        <v>132</v>
      </c>
      <c r="E84" s="5" t="s">
        <v>137</v>
      </c>
      <c r="F84" s="5" t="s">
        <v>8</v>
      </c>
      <c r="G84" s="5" t="s">
        <v>204</v>
      </c>
      <c r="H84" s="5" t="s">
        <v>145</v>
      </c>
      <c r="I84" s="5" t="s">
        <v>11</v>
      </c>
    </row>
    <row r="85" spans="1:9" ht="43.2" x14ac:dyDescent="0.3">
      <c r="A85" s="5" t="s">
        <v>122</v>
      </c>
      <c r="B85" s="5" t="s">
        <v>135</v>
      </c>
      <c r="C85" s="5" t="s">
        <v>133</v>
      </c>
      <c r="D85" s="9" t="s">
        <v>132</v>
      </c>
      <c r="E85" s="5" t="s">
        <v>137</v>
      </c>
      <c r="F85" s="5" t="s">
        <v>8</v>
      </c>
      <c r="G85" s="5" t="s">
        <v>204</v>
      </c>
      <c r="H85" s="5" t="s">
        <v>145</v>
      </c>
      <c r="I85" s="5" t="s">
        <v>207</v>
      </c>
    </row>
    <row r="86" spans="1:9" ht="43.2" x14ac:dyDescent="0.3">
      <c r="A86" s="5" t="s">
        <v>122</v>
      </c>
      <c r="B86" s="5" t="s">
        <v>135</v>
      </c>
      <c r="C86" s="5" t="s">
        <v>133</v>
      </c>
      <c r="D86" s="9" t="s">
        <v>132</v>
      </c>
      <c r="E86" s="5" t="s">
        <v>137</v>
      </c>
      <c r="F86" s="5" t="s">
        <v>8</v>
      </c>
      <c r="G86" s="5" t="s">
        <v>204</v>
      </c>
      <c r="H86" s="5" t="s">
        <v>145</v>
      </c>
      <c r="I86" s="5" t="s">
        <v>147</v>
      </c>
    </row>
    <row r="87" spans="1:9" ht="43.2" x14ac:dyDescent="0.3">
      <c r="A87" s="5" t="s">
        <v>122</v>
      </c>
      <c r="B87" s="5" t="s">
        <v>135</v>
      </c>
      <c r="C87" s="5" t="s">
        <v>133</v>
      </c>
      <c r="D87" s="9" t="s">
        <v>132</v>
      </c>
      <c r="E87" s="5" t="s">
        <v>137</v>
      </c>
      <c r="F87" s="5" t="s">
        <v>8</v>
      </c>
      <c r="G87" s="5" t="s">
        <v>204</v>
      </c>
      <c r="H87" s="5" t="s">
        <v>145</v>
      </c>
      <c r="I87" s="5" t="s">
        <v>154</v>
      </c>
    </row>
    <row r="88" spans="1:9" ht="43.2" x14ac:dyDescent="0.3">
      <c r="A88" s="5" t="s">
        <v>122</v>
      </c>
      <c r="B88" s="5" t="s">
        <v>136</v>
      </c>
      <c r="C88" s="5" t="s">
        <v>133</v>
      </c>
      <c r="D88" s="9" t="s">
        <v>132</v>
      </c>
      <c r="E88" s="5" t="s">
        <v>137</v>
      </c>
      <c r="F88" s="5" t="s">
        <v>8</v>
      </c>
      <c r="G88" s="5" t="s">
        <v>204</v>
      </c>
      <c r="H88" s="5" t="s">
        <v>146</v>
      </c>
      <c r="I88" s="5" t="s">
        <v>6</v>
      </c>
    </row>
    <row r="89" spans="1:9" ht="43.2" x14ac:dyDescent="0.3">
      <c r="A89" s="5" t="s">
        <v>122</v>
      </c>
      <c r="B89" s="5" t="s">
        <v>136</v>
      </c>
      <c r="C89" s="5" t="s">
        <v>133</v>
      </c>
      <c r="D89" s="9" t="s">
        <v>132</v>
      </c>
      <c r="E89" s="5" t="s">
        <v>137</v>
      </c>
      <c r="F89" s="5" t="s">
        <v>8</v>
      </c>
      <c r="G89" s="5" t="s">
        <v>204</v>
      </c>
      <c r="H89" s="5" t="s">
        <v>146</v>
      </c>
      <c r="I89" s="5" t="s">
        <v>157</v>
      </c>
    </row>
    <row r="90" spans="1:9" ht="43.2" x14ac:dyDescent="0.3">
      <c r="A90" s="5" t="s">
        <v>122</v>
      </c>
      <c r="B90" s="5" t="s">
        <v>136</v>
      </c>
      <c r="C90" s="5" t="s">
        <v>133</v>
      </c>
      <c r="D90" s="9" t="s">
        <v>132</v>
      </c>
      <c r="E90" s="5" t="s">
        <v>137</v>
      </c>
      <c r="F90" s="5" t="s">
        <v>8</v>
      </c>
      <c r="G90" s="5" t="s">
        <v>204</v>
      </c>
      <c r="H90" s="5" t="s">
        <v>146</v>
      </c>
      <c r="I90" s="5" t="s">
        <v>159</v>
      </c>
    </row>
    <row r="91" spans="1:9" ht="43.2" x14ac:dyDescent="0.3">
      <c r="A91" s="5" t="s">
        <v>122</v>
      </c>
      <c r="B91" s="5" t="s">
        <v>134</v>
      </c>
      <c r="C91" s="5" t="s">
        <v>133</v>
      </c>
      <c r="D91" s="9" t="s">
        <v>132</v>
      </c>
      <c r="E91" s="5" t="s">
        <v>137</v>
      </c>
      <c r="F91" s="5" t="s">
        <v>8</v>
      </c>
      <c r="G91" s="5" t="s">
        <v>204</v>
      </c>
      <c r="H91" s="5" t="s">
        <v>138</v>
      </c>
      <c r="I91" s="5" t="s">
        <v>288</v>
      </c>
    </row>
    <row r="92" spans="1:9" ht="43.2" x14ac:dyDescent="0.3">
      <c r="A92" s="5" t="s">
        <v>122</v>
      </c>
      <c r="B92" s="5" t="s">
        <v>134</v>
      </c>
      <c r="C92" s="5" t="s">
        <v>133</v>
      </c>
      <c r="D92" s="9" t="s">
        <v>132</v>
      </c>
      <c r="E92" s="5" t="s">
        <v>137</v>
      </c>
      <c r="F92" s="5" t="s">
        <v>8</v>
      </c>
      <c r="G92" s="5" t="s">
        <v>204</v>
      </c>
      <c r="H92" s="5" t="s">
        <v>141</v>
      </c>
      <c r="I92" s="5" t="s">
        <v>288</v>
      </c>
    </row>
    <row r="93" spans="1:9" ht="43.2" x14ac:dyDescent="0.3">
      <c r="A93" s="5" t="s">
        <v>122</v>
      </c>
      <c r="B93" s="5" t="s">
        <v>134</v>
      </c>
      <c r="C93" s="5" t="s">
        <v>133</v>
      </c>
      <c r="D93" s="9" t="s">
        <v>132</v>
      </c>
      <c r="E93" s="5" t="s">
        <v>137</v>
      </c>
      <c r="F93" s="5" t="s">
        <v>8</v>
      </c>
      <c r="G93" s="5" t="s">
        <v>204</v>
      </c>
      <c r="H93" s="5" t="s">
        <v>139</v>
      </c>
      <c r="I93" s="5" t="s">
        <v>288</v>
      </c>
    </row>
    <row r="94" spans="1:9" ht="43.2" x14ac:dyDescent="0.3">
      <c r="A94" s="5" t="s">
        <v>122</v>
      </c>
      <c r="B94" s="5" t="s">
        <v>134</v>
      </c>
      <c r="C94" s="5" t="s">
        <v>133</v>
      </c>
      <c r="D94" s="9" t="s">
        <v>132</v>
      </c>
      <c r="E94" s="5" t="s">
        <v>137</v>
      </c>
      <c r="F94" s="5" t="s">
        <v>8</v>
      </c>
      <c r="G94" s="5" t="s">
        <v>204</v>
      </c>
      <c r="H94" s="5" t="s">
        <v>5</v>
      </c>
      <c r="I94" s="5" t="s">
        <v>288</v>
      </c>
    </row>
    <row r="95" spans="1:9" ht="43.2" x14ac:dyDescent="0.3">
      <c r="A95" s="5" t="s">
        <v>122</v>
      </c>
      <c r="B95" s="5" t="s">
        <v>134</v>
      </c>
      <c r="C95" s="5" t="s">
        <v>133</v>
      </c>
      <c r="D95" s="9" t="s">
        <v>132</v>
      </c>
      <c r="E95" s="5" t="s">
        <v>137</v>
      </c>
      <c r="F95" s="5" t="s">
        <v>8</v>
      </c>
      <c r="G95" s="5" t="s">
        <v>204</v>
      </c>
      <c r="H95" s="5" t="s">
        <v>140</v>
      </c>
      <c r="I95" s="5" t="s">
        <v>288</v>
      </c>
    </row>
    <row r="96" spans="1:9" ht="43.2" x14ac:dyDescent="0.3">
      <c r="A96" s="5" t="s">
        <v>122</v>
      </c>
      <c r="B96" s="5" t="s">
        <v>134</v>
      </c>
      <c r="C96" s="5" t="s">
        <v>133</v>
      </c>
      <c r="D96" s="9" t="s">
        <v>132</v>
      </c>
      <c r="E96" s="5" t="s">
        <v>137</v>
      </c>
      <c r="F96" s="5" t="s">
        <v>8</v>
      </c>
      <c r="G96" s="5" t="s">
        <v>204</v>
      </c>
      <c r="H96" s="5" t="s">
        <v>144</v>
      </c>
      <c r="I96" s="5" t="s">
        <v>288</v>
      </c>
    </row>
    <row r="97" spans="1:9" ht="43.2" x14ac:dyDescent="0.3">
      <c r="A97" s="5" t="s">
        <v>122</v>
      </c>
      <c r="B97" s="5" t="s">
        <v>135</v>
      </c>
      <c r="C97" s="5" t="s">
        <v>133</v>
      </c>
      <c r="D97" s="9" t="s">
        <v>132</v>
      </c>
      <c r="E97" s="5" t="s">
        <v>137</v>
      </c>
      <c r="F97" s="5" t="s">
        <v>8</v>
      </c>
      <c r="G97" s="5" t="s">
        <v>204</v>
      </c>
      <c r="H97" s="5" t="s">
        <v>140</v>
      </c>
      <c r="I97" s="5" t="s">
        <v>11</v>
      </c>
    </row>
    <row r="98" spans="1:9" ht="43.2" x14ac:dyDescent="0.3">
      <c r="A98" s="5" t="s">
        <v>122</v>
      </c>
      <c r="B98" s="5" t="s">
        <v>135</v>
      </c>
      <c r="C98" s="5" t="s">
        <v>133</v>
      </c>
      <c r="D98" s="9" t="s">
        <v>132</v>
      </c>
      <c r="E98" s="5" t="s">
        <v>137</v>
      </c>
      <c r="F98" s="5" t="s">
        <v>8</v>
      </c>
      <c r="G98" s="5" t="s">
        <v>268</v>
      </c>
      <c r="H98" s="5" t="s">
        <v>141</v>
      </c>
      <c r="I98" s="5" t="s">
        <v>7</v>
      </c>
    </row>
    <row r="99" spans="1:9" ht="43.2" x14ac:dyDescent="0.3">
      <c r="A99" s="5" t="s">
        <v>122</v>
      </c>
      <c r="B99" s="5" t="s">
        <v>135</v>
      </c>
      <c r="C99" s="5" t="s">
        <v>133</v>
      </c>
      <c r="D99" s="9" t="s">
        <v>132</v>
      </c>
      <c r="E99" s="5" t="s">
        <v>137</v>
      </c>
      <c r="F99" s="5" t="s">
        <v>8</v>
      </c>
      <c r="G99" s="5" t="s">
        <v>268</v>
      </c>
      <c r="H99" s="5" t="s">
        <v>141</v>
      </c>
      <c r="I99" s="5" t="s">
        <v>152</v>
      </c>
    </row>
    <row r="100" spans="1:9" ht="43.2" x14ac:dyDescent="0.3">
      <c r="A100" s="5" t="s">
        <v>122</v>
      </c>
      <c r="B100" s="5" t="s">
        <v>135</v>
      </c>
      <c r="C100" s="5" t="s">
        <v>133</v>
      </c>
      <c r="D100" s="9" t="s">
        <v>132</v>
      </c>
      <c r="E100" s="5" t="s">
        <v>137</v>
      </c>
      <c r="F100" s="5" t="s">
        <v>8</v>
      </c>
      <c r="G100" s="5" t="s">
        <v>268</v>
      </c>
      <c r="H100" s="5" t="s">
        <v>139</v>
      </c>
      <c r="I100" s="5" t="s">
        <v>7</v>
      </c>
    </row>
    <row r="101" spans="1:9" ht="43.2" x14ac:dyDescent="0.3">
      <c r="A101" s="5" t="s">
        <v>122</v>
      </c>
      <c r="B101" s="5" t="s">
        <v>135</v>
      </c>
      <c r="C101" s="5" t="s">
        <v>133</v>
      </c>
      <c r="D101" s="9" t="s">
        <v>132</v>
      </c>
      <c r="E101" s="5" t="s">
        <v>137</v>
      </c>
      <c r="F101" s="5" t="s">
        <v>8</v>
      </c>
      <c r="G101" s="5" t="s">
        <v>268</v>
      </c>
      <c r="H101" s="5" t="s">
        <v>139</v>
      </c>
      <c r="I101" s="5" t="s">
        <v>153</v>
      </c>
    </row>
    <row r="102" spans="1:9" ht="43.2" x14ac:dyDescent="0.3">
      <c r="A102" s="5" t="s">
        <v>122</v>
      </c>
      <c r="B102" s="5" t="s">
        <v>135</v>
      </c>
      <c r="C102" s="5" t="s">
        <v>133</v>
      </c>
      <c r="D102" s="9" t="s">
        <v>132</v>
      </c>
      <c r="E102" s="5" t="s">
        <v>137</v>
      </c>
      <c r="F102" s="5" t="s">
        <v>8</v>
      </c>
      <c r="G102" s="5" t="s">
        <v>268</v>
      </c>
      <c r="H102" s="5" t="s">
        <v>139</v>
      </c>
      <c r="I102" s="5" t="s">
        <v>155</v>
      </c>
    </row>
    <row r="103" spans="1:9" ht="43.2" x14ac:dyDescent="0.3">
      <c r="A103" s="5" t="s">
        <v>122</v>
      </c>
      <c r="B103" s="5" t="s">
        <v>136</v>
      </c>
      <c r="C103" s="5" t="s">
        <v>133</v>
      </c>
      <c r="D103" s="9" t="s">
        <v>132</v>
      </c>
      <c r="E103" s="5" t="s">
        <v>137</v>
      </c>
      <c r="F103" s="5" t="s">
        <v>8</v>
      </c>
      <c r="G103" s="5" t="s">
        <v>268</v>
      </c>
      <c r="H103" s="5" t="s">
        <v>5</v>
      </c>
      <c r="I103" s="5" t="s">
        <v>154</v>
      </c>
    </row>
    <row r="104" spans="1:9" ht="43.2" x14ac:dyDescent="0.3">
      <c r="A104" s="5" t="s">
        <v>122</v>
      </c>
      <c r="B104" s="5" t="s">
        <v>136</v>
      </c>
      <c r="C104" s="5" t="s">
        <v>133</v>
      </c>
      <c r="D104" s="9" t="s">
        <v>132</v>
      </c>
      <c r="E104" s="5" t="s">
        <v>137</v>
      </c>
      <c r="F104" s="5" t="s">
        <v>8</v>
      </c>
      <c r="G104" s="5" t="s">
        <v>268</v>
      </c>
      <c r="H104" s="5" t="s">
        <v>5</v>
      </c>
      <c r="I104" s="5" t="s">
        <v>6</v>
      </c>
    </row>
    <row r="105" spans="1:9" ht="43.2" x14ac:dyDescent="0.3">
      <c r="A105" s="5" t="s">
        <v>122</v>
      </c>
      <c r="B105" s="5" t="s">
        <v>136</v>
      </c>
      <c r="C105" s="5" t="s">
        <v>133</v>
      </c>
      <c r="D105" s="9" t="s">
        <v>132</v>
      </c>
      <c r="E105" s="5" t="s">
        <v>137</v>
      </c>
      <c r="F105" s="5" t="s">
        <v>8</v>
      </c>
      <c r="G105" s="5" t="s">
        <v>268</v>
      </c>
      <c r="H105" s="5" t="s">
        <v>146</v>
      </c>
      <c r="I105" s="5" t="s">
        <v>6</v>
      </c>
    </row>
    <row r="106" spans="1:9" ht="43.2" x14ac:dyDescent="0.3">
      <c r="A106" s="5" t="s">
        <v>122</v>
      </c>
      <c r="B106" s="5" t="s">
        <v>136</v>
      </c>
      <c r="C106" s="5" t="s">
        <v>133</v>
      </c>
      <c r="D106" s="9" t="s">
        <v>132</v>
      </c>
      <c r="E106" s="5" t="s">
        <v>137</v>
      </c>
      <c r="F106" s="5" t="s">
        <v>8</v>
      </c>
      <c r="G106" s="5" t="s">
        <v>264</v>
      </c>
      <c r="H106" s="5" t="s">
        <v>3</v>
      </c>
      <c r="I106" s="5" t="s">
        <v>178</v>
      </c>
    </row>
    <row r="107" spans="1:9" ht="43.2" x14ac:dyDescent="0.3">
      <c r="A107" s="5" t="s">
        <v>122</v>
      </c>
      <c r="B107" s="5" t="s">
        <v>136</v>
      </c>
      <c r="C107" s="5" t="s">
        <v>133</v>
      </c>
      <c r="D107" s="9" t="s">
        <v>132</v>
      </c>
      <c r="E107" s="5" t="s">
        <v>137</v>
      </c>
      <c r="F107" s="5" t="s">
        <v>8</v>
      </c>
      <c r="G107" s="5" t="s">
        <v>264</v>
      </c>
      <c r="H107" s="5" t="s">
        <v>3</v>
      </c>
      <c r="I107" s="5" t="s">
        <v>179</v>
      </c>
    </row>
    <row r="108" spans="1:9" ht="43.2" x14ac:dyDescent="0.3">
      <c r="A108" s="5" t="s">
        <v>122</v>
      </c>
      <c r="B108" s="5" t="s">
        <v>59</v>
      </c>
      <c r="C108" s="5" t="s">
        <v>133</v>
      </c>
      <c r="D108" s="9" t="s">
        <v>132</v>
      </c>
      <c r="E108" s="5" t="s">
        <v>137</v>
      </c>
      <c r="F108" s="5" t="s">
        <v>8</v>
      </c>
      <c r="G108" s="5" t="s">
        <v>264</v>
      </c>
      <c r="H108" s="5" t="s">
        <v>3</v>
      </c>
      <c r="I108" s="5" t="s">
        <v>180</v>
      </c>
    </row>
    <row r="109" spans="1:9" ht="43.2" x14ac:dyDescent="0.3">
      <c r="A109" s="5" t="s">
        <v>122</v>
      </c>
      <c r="B109" s="5" t="s">
        <v>59</v>
      </c>
      <c r="C109" s="5" t="s">
        <v>133</v>
      </c>
      <c r="D109" s="9" t="s">
        <v>132</v>
      </c>
      <c r="E109" s="5" t="s">
        <v>137</v>
      </c>
      <c r="F109" s="5" t="s">
        <v>8</v>
      </c>
      <c r="G109" s="5" t="s">
        <v>264</v>
      </c>
      <c r="H109" s="5" t="s">
        <v>3</v>
      </c>
      <c r="I109" s="5" t="s">
        <v>181</v>
      </c>
    </row>
    <row r="110" spans="1:9" ht="43.2" x14ac:dyDescent="0.3">
      <c r="A110" s="5" t="s">
        <v>122</v>
      </c>
      <c r="B110" s="5" t="s">
        <v>136</v>
      </c>
      <c r="C110" s="5" t="s">
        <v>133</v>
      </c>
      <c r="D110" s="9" t="s">
        <v>132</v>
      </c>
      <c r="E110" s="5" t="s">
        <v>137</v>
      </c>
      <c r="F110" s="5" t="s">
        <v>8</v>
      </c>
      <c r="G110" s="5" t="s">
        <v>264</v>
      </c>
      <c r="H110" s="5" t="s">
        <v>3</v>
      </c>
      <c r="I110" s="5" t="s">
        <v>183</v>
      </c>
    </row>
    <row r="111" spans="1:9" ht="43.2" x14ac:dyDescent="0.3">
      <c r="A111" s="5" t="s">
        <v>122</v>
      </c>
      <c r="B111" s="5" t="s">
        <v>136</v>
      </c>
      <c r="C111" s="5" t="s">
        <v>133</v>
      </c>
      <c r="D111" s="9" t="s">
        <v>132</v>
      </c>
      <c r="E111" s="5" t="s">
        <v>137</v>
      </c>
      <c r="F111" s="5" t="s">
        <v>8</v>
      </c>
      <c r="G111" s="5" t="s">
        <v>264</v>
      </c>
      <c r="H111" s="5" t="s">
        <v>3</v>
      </c>
      <c r="I111" s="5" t="s">
        <v>182</v>
      </c>
    </row>
    <row r="112" spans="1:9" ht="43.2" x14ac:dyDescent="0.3">
      <c r="A112" s="5" t="s">
        <v>122</v>
      </c>
      <c r="B112" s="5" t="s">
        <v>59</v>
      </c>
      <c r="C112" s="5" t="s">
        <v>133</v>
      </c>
      <c r="D112" s="9" t="s">
        <v>132</v>
      </c>
      <c r="E112" s="5" t="s">
        <v>137</v>
      </c>
      <c r="F112" s="5" t="s">
        <v>8</v>
      </c>
      <c r="G112" s="5" t="s">
        <v>264</v>
      </c>
      <c r="H112" s="5" t="s">
        <v>3</v>
      </c>
      <c r="I112" s="5" t="s">
        <v>289</v>
      </c>
    </row>
    <row r="113" spans="1:9" ht="43.2" x14ac:dyDescent="0.3">
      <c r="A113" s="5" t="s">
        <v>122</v>
      </c>
      <c r="B113" s="5" t="s">
        <v>59</v>
      </c>
      <c r="C113" s="5" t="s">
        <v>133</v>
      </c>
      <c r="D113" s="9" t="s">
        <v>132</v>
      </c>
      <c r="E113" s="5" t="s">
        <v>137</v>
      </c>
      <c r="F113" s="5" t="s">
        <v>8</v>
      </c>
      <c r="G113" s="5" t="s">
        <v>264</v>
      </c>
      <c r="H113" s="5" t="s">
        <v>3</v>
      </c>
      <c r="I113" s="5" t="s">
        <v>290</v>
      </c>
    </row>
    <row r="114" spans="1:9" ht="43.2" x14ac:dyDescent="0.3">
      <c r="A114" s="5" t="s">
        <v>122</v>
      </c>
      <c r="B114" s="5" t="s">
        <v>291</v>
      </c>
      <c r="C114" s="5" t="s">
        <v>133</v>
      </c>
      <c r="D114" s="9" t="s">
        <v>132</v>
      </c>
      <c r="E114" s="5" t="s">
        <v>137</v>
      </c>
      <c r="F114" s="5" t="s">
        <v>8</v>
      </c>
      <c r="G114" s="5" t="s">
        <v>264</v>
      </c>
      <c r="H114" s="5" t="s">
        <v>3</v>
      </c>
      <c r="I114" s="5" t="s">
        <v>292</v>
      </c>
    </row>
    <row r="115" spans="1:9" ht="43.2" x14ac:dyDescent="0.3">
      <c r="A115" s="5" t="s">
        <v>122</v>
      </c>
      <c r="B115" s="5" t="s">
        <v>59</v>
      </c>
      <c r="C115" s="5" t="s">
        <v>133</v>
      </c>
      <c r="D115" s="9" t="s">
        <v>132</v>
      </c>
      <c r="E115" s="5" t="s">
        <v>137</v>
      </c>
      <c r="F115" s="5" t="s">
        <v>8</v>
      </c>
      <c r="G115" s="5" t="s">
        <v>264</v>
      </c>
      <c r="H115" s="5" t="s">
        <v>3</v>
      </c>
      <c r="I115" s="5" t="s">
        <v>293</v>
      </c>
    </row>
    <row r="116" spans="1:9" ht="43.2" x14ac:dyDescent="0.3">
      <c r="A116" s="5" t="s">
        <v>122</v>
      </c>
      <c r="B116" s="5" t="s">
        <v>59</v>
      </c>
      <c r="C116" s="5" t="s">
        <v>133</v>
      </c>
      <c r="D116" s="9" t="s">
        <v>132</v>
      </c>
      <c r="E116" s="5" t="s">
        <v>137</v>
      </c>
      <c r="F116" s="5" t="s">
        <v>8</v>
      </c>
      <c r="G116" s="5" t="s">
        <v>264</v>
      </c>
      <c r="H116" s="5" t="s">
        <v>3</v>
      </c>
      <c r="I116" s="5" t="s">
        <v>294</v>
      </c>
    </row>
    <row r="117" spans="1:9" ht="43.2" x14ac:dyDescent="0.3">
      <c r="A117" s="5" t="s">
        <v>122</v>
      </c>
      <c r="B117" s="5" t="s">
        <v>59</v>
      </c>
      <c r="C117" s="5" t="s">
        <v>133</v>
      </c>
      <c r="D117" s="9" t="s">
        <v>132</v>
      </c>
      <c r="E117" s="5" t="s">
        <v>137</v>
      </c>
      <c r="F117" s="5" t="s">
        <v>8</v>
      </c>
      <c r="G117" s="5" t="s">
        <v>264</v>
      </c>
      <c r="H117" s="5" t="s">
        <v>3</v>
      </c>
      <c r="I117" s="5" t="s">
        <v>295</v>
      </c>
    </row>
    <row r="118" spans="1:9" ht="43.2" x14ac:dyDescent="0.3">
      <c r="A118" s="5" t="s">
        <v>122</v>
      </c>
      <c r="B118" s="5" t="s">
        <v>136</v>
      </c>
      <c r="C118" s="5" t="s">
        <v>133</v>
      </c>
      <c r="D118" s="9" t="s">
        <v>132</v>
      </c>
      <c r="E118" s="5" t="s">
        <v>137</v>
      </c>
      <c r="F118" s="5" t="s">
        <v>8</v>
      </c>
      <c r="G118" s="5" t="s">
        <v>264</v>
      </c>
      <c r="H118" s="5" t="s">
        <v>3</v>
      </c>
      <c r="I118" s="5" t="s">
        <v>296</v>
      </c>
    </row>
    <row r="119" spans="1:9" ht="43.2" x14ac:dyDescent="0.3">
      <c r="A119" s="5" t="s">
        <v>122</v>
      </c>
      <c r="B119" s="5" t="s">
        <v>134</v>
      </c>
      <c r="C119" s="5" t="s">
        <v>133</v>
      </c>
      <c r="D119" s="9" t="s">
        <v>132</v>
      </c>
      <c r="E119" s="5" t="s">
        <v>137</v>
      </c>
      <c r="F119" s="5" t="s">
        <v>131</v>
      </c>
      <c r="G119" s="5" t="s">
        <v>203</v>
      </c>
      <c r="H119" s="5" t="s">
        <v>138</v>
      </c>
      <c r="I119" s="5" t="s">
        <v>11</v>
      </c>
    </row>
    <row r="120" spans="1:9" ht="43.2" x14ac:dyDescent="0.3">
      <c r="A120" s="5" t="s">
        <v>122</v>
      </c>
      <c r="B120" s="5" t="s">
        <v>134</v>
      </c>
      <c r="C120" s="5" t="s">
        <v>133</v>
      </c>
      <c r="D120" s="9" t="s">
        <v>132</v>
      </c>
      <c r="E120" s="5" t="s">
        <v>137</v>
      </c>
      <c r="F120" s="5" t="s">
        <v>131</v>
      </c>
      <c r="G120" s="5" t="s">
        <v>203</v>
      </c>
      <c r="H120" s="5" t="s">
        <v>138</v>
      </c>
      <c r="I120" s="5" t="s">
        <v>147</v>
      </c>
    </row>
    <row r="121" spans="1:9" ht="43.2" x14ac:dyDescent="0.3">
      <c r="A121" s="5" t="s">
        <v>122</v>
      </c>
      <c r="B121" s="5" t="s">
        <v>135</v>
      </c>
      <c r="C121" s="5" t="s">
        <v>133</v>
      </c>
      <c r="D121" s="9" t="s">
        <v>132</v>
      </c>
      <c r="E121" s="5" t="s">
        <v>137</v>
      </c>
      <c r="F121" s="5" t="s">
        <v>131</v>
      </c>
      <c r="G121" s="5" t="s">
        <v>203</v>
      </c>
      <c r="H121" s="5" t="s">
        <v>141</v>
      </c>
      <c r="I121" s="5" t="s">
        <v>152</v>
      </c>
    </row>
    <row r="122" spans="1:9" ht="43.2" x14ac:dyDescent="0.3">
      <c r="A122" s="5" t="s">
        <v>122</v>
      </c>
      <c r="B122" s="5" t="s">
        <v>135</v>
      </c>
      <c r="C122" s="5" t="s">
        <v>133</v>
      </c>
      <c r="D122" s="9" t="s">
        <v>132</v>
      </c>
      <c r="E122" s="5" t="s">
        <v>137</v>
      </c>
      <c r="F122" s="5" t="s">
        <v>131</v>
      </c>
      <c r="G122" s="5" t="s">
        <v>203</v>
      </c>
      <c r="H122" s="5" t="s">
        <v>141</v>
      </c>
      <c r="I122" s="5" t="s">
        <v>11</v>
      </c>
    </row>
    <row r="123" spans="1:9" ht="43.2" x14ac:dyDescent="0.3">
      <c r="A123" s="5" t="s">
        <v>122</v>
      </c>
      <c r="B123" s="5" t="s">
        <v>135</v>
      </c>
      <c r="C123" s="5" t="s">
        <v>133</v>
      </c>
      <c r="D123" s="9" t="s">
        <v>132</v>
      </c>
      <c r="E123" s="5" t="s">
        <v>137</v>
      </c>
      <c r="F123" s="5" t="s">
        <v>131</v>
      </c>
      <c r="G123" s="5" t="s">
        <v>203</v>
      </c>
      <c r="H123" s="5" t="s">
        <v>141</v>
      </c>
      <c r="I123" s="5" t="s">
        <v>157</v>
      </c>
    </row>
    <row r="124" spans="1:9" ht="43.2" x14ac:dyDescent="0.3">
      <c r="A124" s="5" t="s">
        <v>122</v>
      </c>
      <c r="B124" s="5" t="s">
        <v>135</v>
      </c>
      <c r="C124" s="5" t="s">
        <v>133</v>
      </c>
      <c r="D124" s="9" t="s">
        <v>132</v>
      </c>
      <c r="E124" s="5" t="s">
        <v>137</v>
      </c>
      <c r="F124" s="5" t="s">
        <v>131</v>
      </c>
      <c r="G124" s="5" t="s">
        <v>203</v>
      </c>
      <c r="H124" s="5" t="s">
        <v>141</v>
      </c>
      <c r="I124" s="5" t="s">
        <v>147</v>
      </c>
    </row>
    <row r="125" spans="1:9" ht="43.2" x14ac:dyDescent="0.3">
      <c r="A125" s="5" t="s">
        <v>122</v>
      </c>
      <c r="B125" s="5" t="s">
        <v>135</v>
      </c>
      <c r="C125" s="5" t="s">
        <v>133</v>
      </c>
      <c r="D125" s="9" t="s">
        <v>132</v>
      </c>
      <c r="E125" s="5" t="s">
        <v>137</v>
      </c>
      <c r="F125" s="5" t="s">
        <v>131</v>
      </c>
      <c r="G125" s="5" t="s">
        <v>203</v>
      </c>
      <c r="H125" s="5" t="s">
        <v>139</v>
      </c>
      <c r="I125" s="5" t="s">
        <v>153</v>
      </c>
    </row>
    <row r="126" spans="1:9" ht="43.2" x14ac:dyDescent="0.3">
      <c r="A126" s="5" t="s">
        <v>122</v>
      </c>
      <c r="B126" s="5" t="s">
        <v>135</v>
      </c>
      <c r="C126" s="5" t="s">
        <v>133</v>
      </c>
      <c r="D126" s="9" t="s">
        <v>132</v>
      </c>
      <c r="E126" s="5" t="s">
        <v>137</v>
      </c>
      <c r="F126" s="5" t="s">
        <v>131</v>
      </c>
      <c r="G126" s="5" t="s">
        <v>203</v>
      </c>
      <c r="H126" s="5" t="s">
        <v>139</v>
      </c>
      <c r="I126" s="5" t="s">
        <v>155</v>
      </c>
    </row>
    <row r="127" spans="1:9" ht="43.2" x14ac:dyDescent="0.3">
      <c r="A127" s="5" t="s">
        <v>122</v>
      </c>
      <c r="B127" s="5" t="s">
        <v>135</v>
      </c>
      <c r="C127" s="5" t="s">
        <v>133</v>
      </c>
      <c r="D127" s="9" t="s">
        <v>132</v>
      </c>
      <c r="E127" s="5" t="s">
        <v>137</v>
      </c>
      <c r="F127" s="5" t="s">
        <v>131</v>
      </c>
      <c r="G127" s="5" t="s">
        <v>203</v>
      </c>
      <c r="H127" s="5" t="s">
        <v>139</v>
      </c>
      <c r="I127" s="5" t="s">
        <v>157</v>
      </c>
    </row>
    <row r="128" spans="1:9" ht="43.2" x14ac:dyDescent="0.3">
      <c r="A128" s="5" t="s">
        <v>122</v>
      </c>
      <c r="B128" s="5" t="s">
        <v>135</v>
      </c>
      <c r="C128" s="5" t="s">
        <v>133</v>
      </c>
      <c r="D128" s="9" t="s">
        <v>132</v>
      </c>
      <c r="E128" s="5" t="s">
        <v>137</v>
      </c>
      <c r="F128" s="5" t="s">
        <v>131</v>
      </c>
      <c r="G128" s="5" t="s">
        <v>203</v>
      </c>
      <c r="H128" s="5" t="s">
        <v>139</v>
      </c>
      <c r="I128" s="5" t="s">
        <v>147</v>
      </c>
    </row>
    <row r="129" spans="1:9" ht="43.2" x14ac:dyDescent="0.3">
      <c r="A129" s="5" t="s">
        <v>122</v>
      </c>
      <c r="B129" s="5" t="s">
        <v>59</v>
      </c>
      <c r="C129" s="5" t="s">
        <v>133</v>
      </c>
      <c r="D129" s="9" t="s">
        <v>132</v>
      </c>
      <c r="E129" s="5" t="s">
        <v>137</v>
      </c>
      <c r="F129" s="5" t="s">
        <v>131</v>
      </c>
      <c r="G129" s="5" t="s">
        <v>203</v>
      </c>
      <c r="H129" s="5" t="s">
        <v>5</v>
      </c>
      <c r="I129" s="5" t="s">
        <v>11</v>
      </c>
    </row>
    <row r="130" spans="1:9" ht="43.2" x14ac:dyDescent="0.3">
      <c r="A130" s="5" t="s">
        <v>122</v>
      </c>
      <c r="B130" s="5" t="s">
        <v>59</v>
      </c>
      <c r="C130" s="5" t="s">
        <v>133</v>
      </c>
      <c r="D130" s="9" t="s">
        <v>132</v>
      </c>
      <c r="E130" s="5" t="s">
        <v>137</v>
      </c>
      <c r="F130" s="5" t="s">
        <v>131</v>
      </c>
      <c r="G130" s="5" t="s">
        <v>203</v>
      </c>
      <c r="H130" s="5" t="s">
        <v>5</v>
      </c>
      <c r="I130" s="5" t="s">
        <v>154</v>
      </c>
    </row>
    <row r="131" spans="1:9" ht="43.2" x14ac:dyDescent="0.3">
      <c r="A131" s="5" t="s">
        <v>122</v>
      </c>
      <c r="B131" s="5" t="s">
        <v>59</v>
      </c>
      <c r="C131" s="5" t="s">
        <v>133</v>
      </c>
      <c r="D131" s="9" t="s">
        <v>132</v>
      </c>
      <c r="E131" s="5" t="s">
        <v>137</v>
      </c>
      <c r="F131" s="5" t="s">
        <v>131</v>
      </c>
      <c r="G131" s="5" t="s">
        <v>203</v>
      </c>
      <c r="H131" s="5" t="s">
        <v>5</v>
      </c>
      <c r="I131" s="5" t="s">
        <v>157</v>
      </c>
    </row>
    <row r="132" spans="1:9" ht="43.2" x14ac:dyDescent="0.3">
      <c r="A132" s="5" t="s">
        <v>122</v>
      </c>
      <c r="B132" s="5" t="s">
        <v>59</v>
      </c>
      <c r="C132" s="5" t="s">
        <v>133</v>
      </c>
      <c r="D132" s="9" t="s">
        <v>132</v>
      </c>
      <c r="E132" s="5" t="s">
        <v>137</v>
      </c>
      <c r="F132" s="5" t="s">
        <v>131</v>
      </c>
      <c r="G132" s="5" t="s">
        <v>203</v>
      </c>
      <c r="H132" s="5" t="s">
        <v>5</v>
      </c>
      <c r="I132" s="5" t="s">
        <v>147</v>
      </c>
    </row>
    <row r="133" spans="1:9" ht="43.2" x14ac:dyDescent="0.3">
      <c r="A133" s="5" t="s">
        <v>122</v>
      </c>
      <c r="B133" s="5" t="s">
        <v>135</v>
      </c>
      <c r="C133" s="5" t="s">
        <v>133</v>
      </c>
      <c r="D133" s="9" t="s">
        <v>132</v>
      </c>
      <c r="E133" s="5" t="s">
        <v>137</v>
      </c>
      <c r="F133" s="5" t="s">
        <v>131</v>
      </c>
      <c r="G133" s="5" t="s">
        <v>203</v>
      </c>
      <c r="H133" s="5" t="s">
        <v>145</v>
      </c>
      <c r="I133" s="5" t="s">
        <v>11</v>
      </c>
    </row>
    <row r="134" spans="1:9" ht="43.2" x14ac:dyDescent="0.3">
      <c r="A134" s="5" t="s">
        <v>122</v>
      </c>
      <c r="B134" s="5" t="s">
        <v>135</v>
      </c>
      <c r="C134" s="5" t="s">
        <v>133</v>
      </c>
      <c r="D134" s="9" t="s">
        <v>132</v>
      </c>
      <c r="E134" s="5" t="s">
        <v>137</v>
      </c>
      <c r="F134" s="5" t="s">
        <v>131</v>
      </c>
      <c r="G134" s="5" t="s">
        <v>203</v>
      </c>
      <c r="H134" s="5" t="s">
        <v>145</v>
      </c>
      <c r="I134" s="5" t="s">
        <v>207</v>
      </c>
    </row>
    <row r="135" spans="1:9" ht="43.2" x14ac:dyDescent="0.3">
      <c r="A135" s="5" t="s">
        <v>122</v>
      </c>
      <c r="B135" s="5" t="s">
        <v>135</v>
      </c>
      <c r="C135" s="5" t="s">
        <v>133</v>
      </c>
      <c r="D135" s="9" t="s">
        <v>132</v>
      </c>
      <c r="E135" s="5" t="s">
        <v>137</v>
      </c>
      <c r="F135" s="5" t="s">
        <v>131</v>
      </c>
      <c r="G135" s="5" t="s">
        <v>203</v>
      </c>
      <c r="H135" s="5" t="s">
        <v>145</v>
      </c>
      <c r="I135" s="5" t="s">
        <v>147</v>
      </c>
    </row>
    <row r="136" spans="1:9" ht="43.2" x14ac:dyDescent="0.3">
      <c r="A136" s="5" t="s">
        <v>122</v>
      </c>
      <c r="B136" s="5" t="s">
        <v>135</v>
      </c>
      <c r="C136" s="5" t="s">
        <v>133</v>
      </c>
      <c r="D136" s="9" t="s">
        <v>132</v>
      </c>
      <c r="E136" s="5" t="s">
        <v>137</v>
      </c>
      <c r="F136" s="5" t="s">
        <v>131</v>
      </c>
      <c r="G136" s="5" t="s">
        <v>203</v>
      </c>
      <c r="H136" s="5" t="s">
        <v>145</v>
      </c>
      <c r="I136" s="5" t="s">
        <v>154</v>
      </c>
    </row>
    <row r="137" spans="1:9" ht="43.2" x14ac:dyDescent="0.3">
      <c r="A137" s="5" t="s">
        <v>122</v>
      </c>
      <c r="B137" s="5" t="s">
        <v>136</v>
      </c>
      <c r="C137" s="5" t="s">
        <v>133</v>
      </c>
      <c r="D137" s="9" t="s">
        <v>132</v>
      </c>
      <c r="E137" s="5" t="s">
        <v>137</v>
      </c>
      <c r="F137" s="5" t="s">
        <v>131</v>
      </c>
      <c r="G137" s="5" t="s">
        <v>203</v>
      </c>
      <c r="H137" s="5" t="s">
        <v>146</v>
      </c>
      <c r="I137" s="5" t="s">
        <v>6</v>
      </c>
    </row>
    <row r="138" spans="1:9" ht="43.2" x14ac:dyDescent="0.3">
      <c r="A138" s="5" t="s">
        <v>122</v>
      </c>
      <c r="B138" s="5" t="s">
        <v>136</v>
      </c>
      <c r="C138" s="5" t="s">
        <v>133</v>
      </c>
      <c r="D138" s="9" t="s">
        <v>132</v>
      </c>
      <c r="E138" s="5" t="s">
        <v>137</v>
      </c>
      <c r="F138" s="5" t="s">
        <v>131</v>
      </c>
      <c r="G138" s="5" t="s">
        <v>203</v>
      </c>
      <c r="H138" s="5" t="s">
        <v>146</v>
      </c>
      <c r="I138" s="5" t="s">
        <v>157</v>
      </c>
    </row>
    <row r="139" spans="1:9" ht="43.2" x14ac:dyDescent="0.3">
      <c r="A139" s="5" t="s">
        <v>122</v>
      </c>
      <c r="B139" s="5" t="s">
        <v>136</v>
      </c>
      <c r="C139" s="5" t="s">
        <v>133</v>
      </c>
      <c r="D139" s="9" t="s">
        <v>132</v>
      </c>
      <c r="E139" s="5" t="s">
        <v>137</v>
      </c>
      <c r="F139" s="5" t="s">
        <v>131</v>
      </c>
      <c r="G139" s="5" t="s">
        <v>203</v>
      </c>
      <c r="H139" s="5" t="s">
        <v>146</v>
      </c>
      <c r="I139" s="5" t="s">
        <v>159</v>
      </c>
    </row>
    <row r="140" spans="1:9" ht="43.2" x14ac:dyDescent="0.3">
      <c r="A140" s="5" t="s">
        <v>122</v>
      </c>
      <c r="B140" s="5" t="s">
        <v>135</v>
      </c>
      <c r="C140" s="5" t="s">
        <v>133</v>
      </c>
      <c r="D140" s="9" t="s">
        <v>132</v>
      </c>
      <c r="E140" s="5" t="s">
        <v>137</v>
      </c>
      <c r="F140" s="5" t="s">
        <v>131</v>
      </c>
      <c r="G140" s="5" t="s">
        <v>203</v>
      </c>
      <c r="H140" s="5" t="s">
        <v>140</v>
      </c>
      <c r="I140" s="5" t="s">
        <v>11</v>
      </c>
    </row>
    <row r="141" spans="1:9" ht="43.2" x14ac:dyDescent="0.3">
      <c r="A141" s="5" t="s">
        <v>122</v>
      </c>
      <c r="B141" s="5" t="s">
        <v>134</v>
      </c>
      <c r="C141" s="5" t="s">
        <v>133</v>
      </c>
      <c r="D141" s="9" t="s">
        <v>132</v>
      </c>
      <c r="E141" s="5" t="s">
        <v>137</v>
      </c>
      <c r="F141" s="5" t="s">
        <v>131</v>
      </c>
      <c r="G141" s="5" t="s">
        <v>203</v>
      </c>
      <c r="H141" s="5" t="s">
        <v>138</v>
      </c>
      <c r="I141" s="5" t="s">
        <v>288</v>
      </c>
    </row>
    <row r="142" spans="1:9" ht="43.2" x14ac:dyDescent="0.3">
      <c r="A142" s="5" t="s">
        <v>122</v>
      </c>
      <c r="B142" s="5" t="s">
        <v>134</v>
      </c>
      <c r="C142" s="5" t="s">
        <v>133</v>
      </c>
      <c r="D142" s="9" t="s">
        <v>132</v>
      </c>
      <c r="E142" s="5" t="s">
        <v>137</v>
      </c>
      <c r="F142" s="5" t="s">
        <v>131</v>
      </c>
      <c r="G142" s="5" t="s">
        <v>203</v>
      </c>
      <c r="H142" s="5" t="s">
        <v>141</v>
      </c>
      <c r="I142" s="5" t="s">
        <v>288</v>
      </c>
    </row>
    <row r="143" spans="1:9" ht="43.2" x14ac:dyDescent="0.3">
      <c r="A143" s="5" t="s">
        <v>122</v>
      </c>
      <c r="B143" s="5" t="s">
        <v>134</v>
      </c>
      <c r="C143" s="5" t="s">
        <v>133</v>
      </c>
      <c r="D143" s="9" t="s">
        <v>132</v>
      </c>
      <c r="E143" s="5" t="s">
        <v>137</v>
      </c>
      <c r="F143" s="5" t="s">
        <v>131</v>
      </c>
      <c r="G143" s="5" t="s">
        <v>203</v>
      </c>
      <c r="H143" s="5" t="s">
        <v>139</v>
      </c>
      <c r="I143" s="5" t="s">
        <v>288</v>
      </c>
    </row>
    <row r="144" spans="1:9" ht="43.2" x14ac:dyDescent="0.3">
      <c r="A144" s="5" t="s">
        <v>122</v>
      </c>
      <c r="B144" s="5" t="s">
        <v>134</v>
      </c>
      <c r="C144" s="5" t="s">
        <v>133</v>
      </c>
      <c r="D144" s="9" t="s">
        <v>132</v>
      </c>
      <c r="E144" s="5" t="s">
        <v>137</v>
      </c>
      <c r="F144" s="5" t="s">
        <v>131</v>
      </c>
      <c r="G144" s="5" t="s">
        <v>203</v>
      </c>
      <c r="H144" s="5" t="s">
        <v>5</v>
      </c>
      <c r="I144" s="5" t="s">
        <v>288</v>
      </c>
    </row>
    <row r="145" spans="1:9" ht="43.2" x14ac:dyDescent="0.3">
      <c r="A145" s="5" t="s">
        <v>122</v>
      </c>
      <c r="B145" s="5" t="s">
        <v>134</v>
      </c>
      <c r="C145" s="5" t="s">
        <v>133</v>
      </c>
      <c r="D145" s="9" t="s">
        <v>132</v>
      </c>
      <c r="E145" s="5" t="s">
        <v>137</v>
      </c>
      <c r="F145" s="5" t="s">
        <v>131</v>
      </c>
      <c r="G145" s="5" t="s">
        <v>203</v>
      </c>
      <c r="H145" s="5" t="s">
        <v>140</v>
      </c>
      <c r="I145" s="5" t="s">
        <v>288</v>
      </c>
    </row>
    <row r="146" spans="1:9" ht="43.2" x14ac:dyDescent="0.3">
      <c r="A146" s="5" t="s">
        <v>122</v>
      </c>
      <c r="B146" s="5" t="s">
        <v>134</v>
      </c>
      <c r="C146" s="5" t="s">
        <v>133</v>
      </c>
      <c r="D146" s="9" t="s">
        <v>132</v>
      </c>
      <c r="E146" s="5" t="s">
        <v>137</v>
      </c>
      <c r="F146" s="5" t="s">
        <v>131</v>
      </c>
      <c r="G146" s="5" t="s">
        <v>203</v>
      </c>
      <c r="H146" s="5" t="s">
        <v>144</v>
      </c>
      <c r="I146" s="5" t="s">
        <v>288</v>
      </c>
    </row>
    <row r="147" spans="1:9" ht="43.2" x14ac:dyDescent="0.3">
      <c r="A147" s="5" t="s">
        <v>122</v>
      </c>
      <c r="B147" s="5" t="s">
        <v>135</v>
      </c>
      <c r="C147" s="5" t="s">
        <v>133</v>
      </c>
      <c r="D147" s="9" t="s">
        <v>132</v>
      </c>
      <c r="E147" s="5" t="s">
        <v>137</v>
      </c>
      <c r="F147" s="5" t="s">
        <v>131</v>
      </c>
      <c r="G147" s="5" t="s">
        <v>269</v>
      </c>
      <c r="H147" s="5" t="s">
        <v>141</v>
      </c>
      <c r="I147" s="5" t="s">
        <v>7</v>
      </c>
    </row>
    <row r="148" spans="1:9" ht="43.2" x14ac:dyDescent="0.3">
      <c r="A148" s="5" t="s">
        <v>122</v>
      </c>
      <c r="B148" s="5" t="s">
        <v>135</v>
      </c>
      <c r="C148" s="5" t="s">
        <v>133</v>
      </c>
      <c r="D148" s="9" t="s">
        <v>132</v>
      </c>
      <c r="E148" s="5" t="s">
        <v>137</v>
      </c>
      <c r="F148" s="5" t="s">
        <v>131</v>
      </c>
      <c r="G148" s="5" t="s">
        <v>269</v>
      </c>
      <c r="H148" s="5" t="s">
        <v>141</v>
      </c>
      <c r="I148" s="5" t="s">
        <v>152</v>
      </c>
    </row>
    <row r="149" spans="1:9" ht="43.2" x14ac:dyDescent="0.3">
      <c r="A149" s="5" t="s">
        <v>122</v>
      </c>
      <c r="B149" s="5" t="s">
        <v>135</v>
      </c>
      <c r="C149" s="5" t="s">
        <v>133</v>
      </c>
      <c r="D149" s="9" t="s">
        <v>132</v>
      </c>
      <c r="E149" s="5" t="s">
        <v>137</v>
      </c>
      <c r="F149" s="5" t="s">
        <v>131</v>
      </c>
      <c r="G149" s="5" t="s">
        <v>269</v>
      </c>
      <c r="H149" s="5" t="s">
        <v>139</v>
      </c>
      <c r="I149" s="5" t="s">
        <v>7</v>
      </c>
    </row>
    <row r="150" spans="1:9" ht="43.2" x14ac:dyDescent="0.3">
      <c r="A150" s="5" t="s">
        <v>122</v>
      </c>
      <c r="B150" s="5" t="s">
        <v>135</v>
      </c>
      <c r="C150" s="5" t="s">
        <v>133</v>
      </c>
      <c r="D150" s="9" t="s">
        <v>132</v>
      </c>
      <c r="E150" s="5" t="s">
        <v>137</v>
      </c>
      <c r="F150" s="5" t="s">
        <v>131</v>
      </c>
      <c r="G150" s="5" t="s">
        <v>269</v>
      </c>
      <c r="H150" s="5" t="s">
        <v>139</v>
      </c>
      <c r="I150" s="5" t="s">
        <v>153</v>
      </c>
    </row>
    <row r="151" spans="1:9" ht="43.2" x14ac:dyDescent="0.3">
      <c r="A151" s="5" t="s">
        <v>122</v>
      </c>
      <c r="B151" s="5" t="s">
        <v>135</v>
      </c>
      <c r="C151" s="5" t="s">
        <v>133</v>
      </c>
      <c r="D151" s="9" t="s">
        <v>132</v>
      </c>
      <c r="E151" s="5" t="s">
        <v>137</v>
      </c>
      <c r="F151" s="5" t="s">
        <v>131</v>
      </c>
      <c r="G151" s="5" t="s">
        <v>269</v>
      </c>
      <c r="H151" s="5" t="s">
        <v>139</v>
      </c>
      <c r="I151" s="5" t="s">
        <v>155</v>
      </c>
    </row>
    <row r="152" spans="1:9" ht="43.2" x14ac:dyDescent="0.3">
      <c r="A152" s="5" t="s">
        <v>122</v>
      </c>
      <c r="B152" s="5" t="s">
        <v>136</v>
      </c>
      <c r="C152" s="5" t="s">
        <v>133</v>
      </c>
      <c r="D152" s="9" t="s">
        <v>132</v>
      </c>
      <c r="E152" s="5" t="s">
        <v>137</v>
      </c>
      <c r="F152" s="5" t="s">
        <v>131</v>
      </c>
      <c r="G152" s="5" t="s">
        <v>269</v>
      </c>
      <c r="H152" s="5" t="s">
        <v>5</v>
      </c>
      <c r="I152" s="5" t="s">
        <v>154</v>
      </c>
    </row>
    <row r="153" spans="1:9" ht="43.2" x14ac:dyDescent="0.3">
      <c r="A153" s="5" t="s">
        <v>122</v>
      </c>
      <c r="B153" s="5" t="s">
        <v>136</v>
      </c>
      <c r="C153" s="5" t="s">
        <v>133</v>
      </c>
      <c r="D153" s="9" t="s">
        <v>132</v>
      </c>
      <c r="E153" s="5" t="s">
        <v>137</v>
      </c>
      <c r="F153" s="5" t="s">
        <v>131</v>
      </c>
      <c r="G153" s="5" t="s">
        <v>269</v>
      </c>
      <c r="H153" s="5" t="s">
        <v>5</v>
      </c>
      <c r="I153" s="5" t="s">
        <v>6</v>
      </c>
    </row>
    <row r="154" spans="1:9" ht="43.2" x14ac:dyDescent="0.3">
      <c r="A154" s="5" t="s">
        <v>122</v>
      </c>
      <c r="B154" s="5" t="s">
        <v>136</v>
      </c>
      <c r="C154" s="5" t="s">
        <v>133</v>
      </c>
      <c r="D154" s="9" t="s">
        <v>132</v>
      </c>
      <c r="E154" s="5" t="s">
        <v>137</v>
      </c>
      <c r="F154" s="5" t="s">
        <v>131</v>
      </c>
      <c r="G154" s="5" t="s">
        <v>269</v>
      </c>
      <c r="H154" s="5" t="s">
        <v>146</v>
      </c>
      <c r="I154" s="5" t="s">
        <v>6</v>
      </c>
    </row>
    <row r="155" spans="1:9" ht="43.2" x14ac:dyDescent="0.3">
      <c r="A155" s="5" t="s">
        <v>122</v>
      </c>
      <c r="B155" s="5" t="s">
        <v>136</v>
      </c>
      <c r="C155" s="5" t="s">
        <v>133</v>
      </c>
      <c r="D155" s="9" t="s">
        <v>132</v>
      </c>
      <c r="E155" s="5" t="s">
        <v>137</v>
      </c>
      <c r="F155" s="5" t="s">
        <v>131</v>
      </c>
      <c r="G155" s="5" t="s">
        <v>265</v>
      </c>
      <c r="H155" s="5" t="s">
        <v>3</v>
      </c>
      <c r="I155" s="5" t="s">
        <v>169</v>
      </c>
    </row>
    <row r="156" spans="1:9" ht="43.2" x14ac:dyDescent="0.3">
      <c r="A156" s="5" t="s">
        <v>122</v>
      </c>
      <c r="B156" s="5" t="s">
        <v>136</v>
      </c>
      <c r="C156" s="5" t="s">
        <v>133</v>
      </c>
      <c r="D156" s="9" t="s">
        <v>132</v>
      </c>
      <c r="E156" s="5" t="s">
        <v>137</v>
      </c>
      <c r="F156" s="5" t="s">
        <v>131</v>
      </c>
      <c r="G156" s="5" t="s">
        <v>265</v>
      </c>
      <c r="H156" s="5" t="s">
        <v>3</v>
      </c>
      <c r="I156" s="5" t="s">
        <v>170</v>
      </c>
    </row>
    <row r="157" spans="1:9" ht="43.2" x14ac:dyDescent="0.3">
      <c r="A157" s="5" t="s">
        <v>122</v>
      </c>
      <c r="B157" s="5" t="s">
        <v>59</v>
      </c>
      <c r="C157" s="5" t="s">
        <v>133</v>
      </c>
      <c r="D157" s="9" t="s">
        <v>132</v>
      </c>
      <c r="E157" s="5" t="s">
        <v>137</v>
      </c>
      <c r="F157" s="5" t="s">
        <v>131</v>
      </c>
      <c r="G157" s="5" t="s">
        <v>265</v>
      </c>
      <c r="H157" s="5" t="s">
        <v>3</v>
      </c>
      <c r="I157" s="5" t="s">
        <v>173</v>
      </c>
    </row>
    <row r="158" spans="1:9" ht="43.2" x14ac:dyDescent="0.3">
      <c r="A158" s="5" t="s">
        <v>122</v>
      </c>
      <c r="B158" s="5" t="s">
        <v>59</v>
      </c>
      <c r="C158" s="5" t="s">
        <v>133</v>
      </c>
      <c r="D158" s="9" t="s">
        <v>132</v>
      </c>
      <c r="E158" s="5" t="s">
        <v>137</v>
      </c>
      <c r="F158" s="5" t="s">
        <v>131</v>
      </c>
      <c r="G158" s="5" t="s">
        <v>265</v>
      </c>
      <c r="H158" s="5" t="s">
        <v>3</v>
      </c>
      <c r="I158" s="5" t="s">
        <v>174</v>
      </c>
    </row>
    <row r="159" spans="1:9" ht="43.2" x14ac:dyDescent="0.3">
      <c r="A159" s="5" t="s">
        <v>122</v>
      </c>
      <c r="B159" s="5" t="s">
        <v>59</v>
      </c>
      <c r="C159" s="5" t="s">
        <v>133</v>
      </c>
      <c r="D159" s="9" t="s">
        <v>132</v>
      </c>
      <c r="E159" s="5" t="s">
        <v>137</v>
      </c>
      <c r="F159" s="5" t="s">
        <v>131</v>
      </c>
      <c r="G159" s="5" t="s">
        <v>265</v>
      </c>
      <c r="H159" s="5" t="s">
        <v>3</v>
      </c>
      <c r="I159" s="5" t="s">
        <v>175</v>
      </c>
    </row>
    <row r="160" spans="1:9" ht="43.2" x14ac:dyDescent="0.3">
      <c r="A160" s="5" t="s">
        <v>122</v>
      </c>
      <c r="B160" s="5" t="s">
        <v>136</v>
      </c>
      <c r="C160" s="5" t="s">
        <v>133</v>
      </c>
      <c r="D160" s="9" t="s">
        <v>132</v>
      </c>
      <c r="E160" s="5" t="s">
        <v>137</v>
      </c>
      <c r="F160" s="5" t="s">
        <v>131</v>
      </c>
      <c r="G160" s="5" t="s">
        <v>265</v>
      </c>
      <c r="H160" s="5" t="s">
        <v>3</v>
      </c>
      <c r="I160" s="5" t="s">
        <v>171</v>
      </c>
    </row>
    <row r="161" spans="1:9" ht="43.2" x14ac:dyDescent="0.3">
      <c r="A161" s="5" t="s">
        <v>122</v>
      </c>
      <c r="B161" s="5" t="s">
        <v>136</v>
      </c>
      <c r="C161" s="5" t="s">
        <v>133</v>
      </c>
      <c r="D161" s="9" t="s">
        <v>132</v>
      </c>
      <c r="E161" s="5" t="s">
        <v>137</v>
      </c>
      <c r="F161" s="5" t="s">
        <v>131</v>
      </c>
      <c r="G161" s="5" t="s">
        <v>265</v>
      </c>
      <c r="H161" s="5" t="s">
        <v>3</v>
      </c>
      <c r="I161" s="5" t="s">
        <v>172</v>
      </c>
    </row>
    <row r="162" spans="1:9" ht="43.2" x14ac:dyDescent="0.3">
      <c r="A162" s="5" t="s">
        <v>122</v>
      </c>
      <c r="B162" s="5" t="s">
        <v>136</v>
      </c>
      <c r="C162" s="5" t="s">
        <v>133</v>
      </c>
      <c r="D162" s="9" t="s">
        <v>132</v>
      </c>
      <c r="E162" s="5" t="s">
        <v>137</v>
      </c>
      <c r="F162" s="5" t="s">
        <v>131</v>
      </c>
      <c r="G162" s="5" t="s">
        <v>265</v>
      </c>
      <c r="H162" s="5" t="s">
        <v>3</v>
      </c>
      <c r="I162" s="5" t="s">
        <v>176</v>
      </c>
    </row>
    <row r="163" spans="1:9" ht="43.2" x14ac:dyDescent="0.3">
      <c r="A163" s="5" t="s">
        <v>122</v>
      </c>
      <c r="B163" s="5" t="s">
        <v>59</v>
      </c>
      <c r="C163" s="5" t="s">
        <v>133</v>
      </c>
      <c r="D163" s="9" t="s">
        <v>132</v>
      </c>
      <c r="E163" s="5" t="s">
        <v>137</v>
      </c>
      <c r="F163" s="5" t="s">
        <v>131</v>
      </c>
      <c r="G163" s="5" t="s">
        <v>265</v>
      </c>
      <c r="H163" s="5" t="s">
        <v>3</v>
      </c>
      <c r="I163" s="5" t="s">
        <v>289</v>
      </c>
    </row>
    <row r="164" spans="1:9" ht="43.2" x14ac:dyDescent="0.3">
      <c r="A164" s="5" t="s">
        <v>122</v>
      </c>
      <c r="B164" s="5" t="s">
        <v>59</v>
      </c>
      <c r="C164" s="5" t="s">
        <v>133</v>
      </c>
      <c r="D164" s="9" t="s">
        <v>132</v>
      </c>
      <c r="E164" s="5" t="s">
        <v>137</v>
      </c>
      <c r="F164" s="5" t="s">
        <v>131</v>
      </c>
      <c r="G164" s="5" t="s">
        <v>265</v>
      </c>
      <c r="H164" s="5" t="s">
        <v>3</v>
      </c>
      <c r="I164" s="5" t="s">
        <v>290</v>
      </c>
    </row>
    <row r="165" spans="1:9" ht="43.2" x14ac:dyDescent="0.3">
      <c r="A165" s="5" t="s">
        <v>122</v>
      </c>
      <c r="B165" s="5" t="s">
        <v>291</v>
      </c>
      <c r="C165" s="5" t="s">
        <v>133</v>
      </c>
      <c r="D165" s="9" t="s">
        <v>132</v>
      </c>
      <c r="E165" s="5" t="s">
        <v>137</v>
      </c>
      <c r="F165" s="5" t="s">
        <v>131</v>
      </c>
      <c r="G165" s="5" t="s">
        <v>265</v>
      </c>
      <c r="H165" s="5" t="s">
        <v>3</v>
      </c>
      <c r="I165" s="5" t="s">
        <v>292</v>
      </c>
    </row>
    <row r="166" spans="1:9" ht="43.2" x14ac:dyDescent="0.3">
      <c r="A166" s="5" t="s">
        <v>122</v>
      </c>
      <c r="B166" s="5" t="s">
        <v>59</v>
      </c>
      <c r="C166" s="5" t="s">
        <v>133</v>
      </c>
      <c r="D166" s="9" t="s">
        <v>132</v>
      </c>
      <c r="E166" s="5" t="s">
        <v>137</v>
      </c>
      <c r="F166" s="5" t="s">
        <v>131</v>
      </c>
      <c r="G166" s="5" t="s">
        <v>265</v>
      </c>
      <c r="H166" s="5" t="s">
        <v>3</v>
      </c>
      <c r="I166" s="5" t="s">
        <v>293</v>
      </c>
    </row>
    <row r="167" spans="1:9" ht="43.2" x14ac:dyDescent="0.3">
      <c r="A167" s="5" t="s">
        <v>122</v>
      </c>
      <c r="B167" s="5" t="s">
        <v>59</v>
      </c>
      <c r="C167" s="5" t="s">
        <v>133</v>
      </c>
      <c r="D167" s="9" t="s">
        <v>132</v>
      </c>
      <c r="E167" s="5" t="s">
        <v>137</v>
      </c>
      <c r="F167" s="5" t="s">
        <v>131</v>
      </c>
      <c r="G167" s="5" t="s">
        <v>265</v>
      </c>
      <c r="H167" s="5" t="s">
        <v>3</v>
      </c>
      <c r="I167" s="5" t="s">
        <v>294</v>
      </c>
    </row>
    <row r="168" spans="1:9" ht="43.2" x14ac:dyDescent="0.3">
      <c r="A168" s="5" t="s">
        <v>122</v>
      </c>
      <c r="B168" s="5" t="s">
        <v>59</v>
      </c>
      <c r="C168" s="5" t="s">
        <v>133</v>
      </c>
      <c r="D168" s="9" t="s">
        <v>132</v>
      </c>
      <c r="E168" s="5" t="s">
        <v>137</v>
      </c>
      <c r="F168" s="5" t="s">
        <v>131</v>
      </c>
      <c r="G168" s="5" t="s">
        <v>265</v>
      </c>
      <c r="H168" s="5" t="s">
        <v>3</v>
      </c>
      <c r="I168" s="5" t="s">
        <v>295</v>
      </c>
    </row>
    <row r="169" spans="1:9" ht="43.2" x14ac:dyDescent="0.3">
      <c r="A169" s="5" t="s">
        <v>122</v>
      </c>
      <c r="B169" s="5" t="s">
        <v>136</v>
      </c>
      <c r="C169" s="5" t="s">
        <v>133</v>
      </c>
      <c r="D169" s="9" t="s">
        <v>132</v>
      </c>
      <c r="E169" s="5" t="s">
        <v>137</v>
      </c>
      <c r="F169" s="5" t="s">
        <v>131</v>
      </c>
      <c r="G169" s="5" t="s">
        <v>265</v>
      </c>
      <c r="H169" s="5" t="s">
        <v>3</v>
      </c>
      <c r="I169" s="5" t="s">
        <v>296</v>
      </c>
    </row>
    <row r="170" spans="1:9" ht="43.2" x14ac:dyDescent="0.3">
      <c r="A170" s="5" t="s">
        <v>122</v>
      </c>
      <c r="B170" s="5" t="s">
        <v>136</v>
      </c>
      <c r="C170" s="5" t="s">
        <v>133</v>
      </c>
      <c r="D170" s="9" t="s">
        <v>132</v>
      </c>
      <c r="E170" s="5" t="s">
        <v>137</v>
      </c>
      <c r="F170" s="5" t="s">
        <v>131</v>
      </c>
      <c r="G170" s="5" t="s">
        <v>265</v>
      </c>
      <c r="H170" s="5" t="s">
        <v>3</v>
      </c>
      <c r="I170" s="5" t="s">
        <v>297</v>
      </c>
    </row>
    <row r="171" spans="1:9" ht="43.2" x14ac:dyDescent="0.3">
      <c r="A171" s="5" t="s">
        <v>122</v>
      </c>
      <c r="B171" s="5" t="s">
        <v>136</v>
      </c>
      <c r="C171" s="5" t="s">
        <v>133</v>
      </c>
      <c r="D171" s="9" t="s">
        <v>132</v>
      </c>
      <c r="E171" s="5" t="s">
        <v>137</v>
      </c>
      <c r="F171" s="5" t="s">
        <v>131</v>
      </c>
      <c r="G171" s="5" t="s">
        <v>265</v>
      </c>
      <c r="H171" s="5" t="s">
        <v>3</v>
      </c>
      <c r="I171" s="5" t="s">
        <v>298</v>
      </c>
    </row>
    <row r="172" spans="1:9" ht="43.2" x14ac:dyDescent="0.3">
      <c r="A172" s="5" t="s">
        <v>122</v>
      </c>
      <c r="B172" s="5" t="s">
        <v>136</v>
      </c>
      <c r="C172" s="5" t="s">
        <v>133</v>
      </c>
      <c r="D172" s="9" t="s">
        <v>132</v>
      </c>
      <c r="E172" s="5" t="s">
        <v>137</v>
      </c>
      <c r="F172" s="5" t="s">
        <v>131</v>
      </c>
      <c r="G172" s="5" t="s">
        <v>265</v>
      </c>
      <c r="H172" s="5" t="s">
        <v>3</v>
      </c>
      <c r="I172" s="5" t="s">
        <v>299</v>
      </c>
    </row>
    <row r="173" spans="1:9" ht="43.2" x14ac:dyDescent="0.3">
      <c r="A173" s="5" t="s">
        <v>122</v>
      </c>
      <c r="B173" s="5" t="s">
        <v>136</v>
      </c>
      <c r="C173" s="5" t="s">
        <v>133</v>
      </c>
      <c r="D173" s="9" t="s">
        <v>132</v>
      </c>
      <c r="E173" s="5" t="s">
        <v>137</v>
      </c>
      <c r="F173" s="5" t="s">
        <v>131</v>
      </c>
      <c r="G173" s="5" t="s">
        <v>265</v>
      </c>
      <c r="H173" s="5" t="s">
        <v>3</v>
      </c>
      <c r="I173" s="5" t="s">
        <v>300</v>
      </c>
    </row>
    <row r="174" spans="1:9" ht="43.2" x14ac:dyDescent="0.3">
      <c r="A174" s="5" t="s">
        <v>122</v>
      </c>
      <c r="B174" s="5" t="s">
        <v>59</v>
      </c>
      <c r="C174" s="5" t="s">
        <v>133</v>
      </c>
      <c r="D174" s="9" t="s">
        <v>132</v>
      </c>
      <c r="E174" s="5" t="s">
        <v>137</v>
      </c>
      <c r="F174" s="5" t="s">
        <v>130</v>
      </c>
      <c r="G174" s="5" t="s">
        <v>262</v>
      </c>
      <c r="H174" s="5" t="s">
        <v>3</v>
      </c>
      <c r="I174" s="5" t="s">
        <v>164</v>
      </c>
    </row>
    <row r="175" spans="1:9" ht="43.2" x14ac:dyDescent="0.3">
      <c r="A175" s="5" t="s">
        <v>122</v>
      </c>
      <c r="B175" s="5" t="s">
        <v>59</v>
      </c>
      <c r="C175" s="5" t="s">
        <v>133</v>
      </c>
      <c r="D175" s="9" t="s">
        <v>132</v>
      </c>
      <c r="E175" s="5" t="s">
        <v>137</v>
      </c>
      <c r="F175" s="5" t="s">
        <v>130</v>
      </c>
      <c r="G175" s="5" t="s">
        <v>262</v>
      </c>
      <c r="H175" s="5" t="s">
        <v>3</v>
      </c>
      <c r="I175" s="5" t="s">
        <v>165</v>
      </c>
    </row>
    <row r="176" spans="1:9" ht="43.2" x14ac:dyDescent="0.3">
      <c r="A176" s="5" t="s">
        <v>122</v>
      </c>
      <c r="B176" s="5" t="s">
        <v>59</v>
      </c>
      <c r="C176" s="5" t="s">
        <v>133</v>
      </c>
      <c r="D176" s="9" t="s">
        <v>132</v>
      </c>
      <c r="E176" s="5" t="s">
        <v>137</v>
      </c>
      <c r="F176" s="5" t="s">
        <v>130</v>
      </c>
      <c r="G176" s="5" t="s">
        <v>262</v>
      </c>
      <c r="H176" s="5" t="s">
        <v>3</v>
      </c>
      <c r="I176" s="5" t="s">
        <v>168</v>
      </c>
    </row>
    <row r="177" spans="1:9" ht="43.2" x14ac:dyDescent="0.3">
      <c r="A177" s="5" t="s">
        <v>122</v>
      </c>
      <c r="B177" s="5" t="s">
        <v>59</v>
      </c>
      <c r="C177" s="5" t="s">
        <v>133</v>
      </c>
      <c r="D177" s="9" t="s">
        <v>132</v>
      </c>
      <c r="E177" s="5" t="s">
        <v>137</v>
      </c>
      <c r="F177" s="5" t="s">
        <v>130</v>
      </c>
      <c r="G177" s="5" t="s">
        <v>262</v>
      </c>
      <c r="H177" s="5" t="s">
        <v>3</v>
      </c>
      <c r="I177" s="5" t="s">
        <v>167</v>
      </c>
    </row>
    <row r="178" spans="1:9" ht="43.2" x14ac:dyDescent="0.3">
      <c r="A178" s="5" t="s">
        <v>122</v>
      </c>
      <c r="B178" s="5" t="s">
        <v>59</v>
      </c>
      <c r="C178" s="5" t="s">
        <v>133</v>
      </c>
      <c r="D178" s="9" t="s">
        <v>132</v>
      </c>
      <c r="E178" s="5" t="s">
        <v>137</v>
      </c>
      <c r="F178" s="5" t="s">
        <v>130</v>
      </c>
      <c r="G178" s="5" t="s">
        <v>262</v>
      </c>
      <c r="H178" s="5" t="s">
        <v>3</v>
      </c>
      <c r="I178" s="5" t="s">
        <v>166</v>
      </c>
    </row>
    <row r="179" spans="1:9" ht="43.2" x14ac:dyDescent="0.3">
      <c r="A179" s="5" t="s">
        <v>122</v>
      </c>
      <c r="B179" s="5" t="s">
        <v>135</v>
      </c>
      <c r="C179" s="5" t="s">
        <v>133</v>
      </c>
      <c r="D179" s="9" t="s">
        <v>132</v>
      </c>
      <c r="E179" s="5" t="s">
        <v>137</v>
      </c>
      <c r="F179" s="5" t="s">
        <v>149</v>
      </c>
      <c r="G179" s="5" t="s">
        <v>9</v>
      </c>
      <c r="H179" s="5" t="s">
        <v>138</v>
      </c>
      <c r="I179" s="5" t="s">
        <v>10</v>
      </c>
    </row>
    <row r="180" spans="1:9" ht="43.2" x14ac:dyDescent="0.3">
      <c r="A180" s="5" t="s">
        <v>122</v>
      </c>
      <c r="B180" s="5" t="s">
        <v>135</v>
      </c>
      <c r="C180" s="5" t="s">
        <v>133</v>
      </c>
      <c r="D180" s="9" t="s">
        <v>132</v>
      </c>
      <c r="E180" s="5" t="s">
        <v>137</v>
      </c>
      <c r="F180" s="5" t="s">
        <v>149</v>
      </c>
      <c r="G180" s="5" t="s">
        <v>9</v>
      </c>
      <c r="H180" s="5" t="s">
        <v>138</v>
      </c>
      <c r="I180" s="5" t="s">
        <v>156</v>
      </c>
    </row>
    <row r="181" spans="1:9" ht="43.2" x14ac:dyDescent="0.3">
      <c r="A181" s="5" t="s">
        <v>122</v>
      </c>
      <c r="B181" s="5" t="s">
        <v>135</v>
      </c>
      <c r="C181" s="5" t="s">
        <v>133</v>
      </c>
      <c r="D181" s="9" t="s">
        <v>132</v>
      </c>
      <c r="E181" s="5" t="s">
        <v>137</v>
      </c>
      <c r="F181" s="5" t="s">
        <v>149</v>
      </c>
      <c r="G181" s="5" t="s">
        <v>9</v>
      </c>
      <c r="H181" s="5" t="s">
        <v>138</v>
      </c>
      <c r="I181" s="5" t="s">
        <v>147</v>
      </c>
    </row>
    <row r="182" spans="1:9" ht="43.2" x14ac:dyDescent="0.3">
      <c r="A182" s="5" t="s">
        <v>122</v>
      </c>
      <c r="B182" s="5" t="s">
        <v>135</v>
      </c>
      <c r="C182" s="5" t="s">
        <v>133</v>
      </c>
      <c r="D182" s="9" t="s">
        <v>132</v>
      </c>
      <c r="E182" s="5" t="s">
        <v>137</v>
      </c>
      <c r="F182" s="5" t="s">
        <v>149</v>
      </c>
      <c r="G182" s="5" t="s">
        <v>150</v>
      </c>
      <c r="H182" s="5" t="s">
        <v>138</v>
      </c>
      <c r="I182" s="5" t="s">
        <v>11</v>
      </c>
    </row>
    <row r="183" spans="1:9" ht="43.2" x14ac:dyDescent="0.3">
      <c r="A183" s="5" t="s">
        <v>122</v>
      </c>
      <c r="B183" s="5" t="s">
        <v>135</v>
      </c>
      <c r="C183" s="5" t="s">
        <v>133</v>
      </c>
      <c r="D183" s="9" t="s">
        <v>132</v>
      </c>
      <c r="E183" s="5" t="s">
        <v>137</v>
      </c>
      <c r="F183" s="5" t="s">
        <v>149</v>
      </c>
      <c r="G183" s="5" t="s">
        <v>150</v>
      </c>
      <c r="H183" s="5" t="s">
        <v>138</v>
      </c>
      <c r="I183" s="5" t="s">
        <v>301</v>
      </c>
    </row>
    <row r="184" spans="1:9" ht="43.2" x14ac:dyDescent="0.3">
      <c r="A184" s="5" t="s">
        <v>122</v>
      </c>
      <c r="B184" s="5" t="s">
        <v>135</v>
      </c>
      <c r="C184" s="5" t="s">
        <v>133</v>
      </c>
      <c r="D184" s="9" t="s">
        <v>132</v>
      </c>
      <c r="E184" s="5" t="s">
        <v>137</v>
      </c>
      <c r="F184" s="5" t="s">
        <v>149</v>
      </c>
      <c r="G184" s="5" t="s">
        <v>150</v>
      </c>
      <c r="H184" s="5" t="s">
        <v>141</v>
      </c>
      <c r="I184" s="5" t="s">
        <v>11</v>
      </c>
    </row>
    <row r="185" spans="1:9" ht="43.2" x14ac:dyDescent="0.3">
      <c r="A185" s="5" t="s">
        <v>122</v>
      </c>
      <c r="B185" s="5" t="s">
        <v>135</v>
      </c>
      <c r="C185" s="5" t="s">
        <v>133</v>
      </c>
      <c r="D185" s="9" t="s">
        <v>132</v>
      </c>
      <c r="E185" s="5" t="s">
        <v>137</v>
      </c>
      <c r="F185" s="5" t="s">
        <v>149</v>
      </c>
      <c r="G185" s="5" t="s">
        <v>150</v>
      </c>
      <c r="H185" s="5" t="s">
        <v>141</v>
      </c>
      <c r="I185" s="5" t="s">
        <v>301</v>
      </c>
    </row>
    <row r="186" spans="1:9" ht="43.2" x14ac:dyDescent="0.3">
      <c r="A186" s="5" t="s">
        <v>122</v>
      </c>
      <c r="B186" s="5" t="s">
        <v>135</v>
      </c>
      <c r="C186" s="5" t="s">
        <v>133</v>
      </c>
      <c r="D186" s="9" t="s">
        <v>132</v>
      </c>
      <c r="E186" s="5" t="s">
        <v>137</v>
      </c>
      <c r="F186" s="5" t="s">
        <v>149</v>
      </c>
      <c r="G186" s="5" t="s">
        <v>150</v>
      </c>
      <c r="H186" s="5" t="s">
        <v>141</v>
      </c>
      <c r="I186" s="5" t="s">
        <v>152</v>
      </c>
    </row>
    <row r="187" spans="1:9" ht="43.2" x14ac:dyDescent="0.3">
      <c r="A187" s="5" t="s">
        <v>122</v>
      </c>
      <c r="B187" s="5" t="s">
        <v>135</v>
      </c>
      <c r="C187" s="5" t="s">
        <v>133</v>
      </c>
      <c r="D187" s="9" t="s">
        <v>132</v>
      </c>
      <c r="E187" s="5" t="s">
        <v>137</v>
      </c>
      <c r="F187" s="5" t="s">
        <v>149</v>
      </c>
      <c r="G187" s="5" t="s">
        <v>150</v>
      </c>
      <c r="H187" s="5" t="s">
        <v>139</v>
      </c>
      <c r="I187" s="5" t="s">
        <v>11</v>
      </c>
    </row>
    <row r="188" spans="1:9" ht="43.2" x14ac:dyDescent="0.3">
      <c r="A188" s="5" t="s">
        <v>122</v>
      </c>
      <c r="B188" s="5" t="s">
        <v>135</v>
      </c>
      <c r="C188" s="5" t="s">
        <v>133</v>
      </c>
      <c r="D188" s="9" t="s">
        <v>132</v>
      </c>
      <c r="E188" s="5" t="s">
        <v>137</v>
      </c>
      <c r="F188" s="5" t="s">
        <v>149</v>
      </c>
      <c r="G188" s="5" t="s">
        <v>150</v>
      </c>
      <c r="H188" s="5" t="s">
        <v>139</v>
      </c>
      <c r="I188" s="5" t="s">
        <v>155</v>
      </c>
    </row>
    <row r="189" spans="1:9" ht="43.2" x14ac:dyDescent="0.3">
      <c r="A189" s="5" t="s">
        <v>122</v>
      </c>
      <c r="B189" s="5" t="s">
        <v>135</v>
      </c>
      <c r="C189" s="5" t="s">
        <v>133</v>
      </c>
      <c r="D189" s="9" t="s">
        <v>132</v>
      </c>
      <c r="E189" s="5" t="s">
        <v>137</v>
      </c>
      <c r="F189" s="5" t="s">
        <v>149</v>
      </c>
      <c r="G189" s="5" t="s">
        <v>150</v>
      </c>
      <c r="H189" s="5" t="s">
        <v>139</v>
      </c>
      <c r="I189" s="5" t="s">
        <v>301</v>
      </c>
    </row>
    <row r="190" spans="1:9" ht="43.2" x14ac:dyDescent="0.3">
      <c r="A190" s="5" t="s">
        <v>122</v>
      </c>
      <c r="B190" s="5" t="s">
        <v>135</v>
      </c>
      <c r="C190" s="5" t="s">
        <v>133</v>
      </c>
      <c r="D190" s="9" t="s">
        <v>132</v>
      </c>
      <c r="E190" s="5" t="s">
        <v>137</v>
      </c>
      <c r="F190" s="5" t="s">
        <v>149</v>
      </c>
      <c r="G190" s="5" t="s">
        <v>150</v>
      </c>
      <c r="H190" s="5" t="s">
        <v>139</v>
      </c>
      <c r="I190" s="5" t="s">
        <v>153</v>
      </c>
    </row>
    <row r="191" spans="1:9" ht="43.2" x14ac:dyDescent="0.3">
      <c r="A191" s="5" t="s">
        <v>122</v>
      </c>
      <c r="B191" s="5" t="s">
        <v>135</v>
      </c>
      <c r="C191" s="5" t="s">
        <v>133</v>
      </c>
      <c r="D191" s="9" t="s">
        <v>132</v>
      </c>
      <c r="E191" s="5" t="s">
        <v>137</v>
      </c>
      <c r="F191" s="5" t="s">
        <v>149</v>
      </c>
      <c r="G191" s="5" t="s">
        <v>150</v>
      </c>
      <c r="H191" s="5" t="s">
        <v>144</v>
      </c>
      <c r="I191" s="5" t="s">
        <v>147</v>
      </c>
    </row>
    <row r="192" spans="1:9" ht="43.2" x14ac:dyDescent="0.3">
      <c r="A192" s="5" t="s">
        <v>122</v>
      </c>
      <c r="B192" s="5" t="s">
        <v>135</v>
      </c>
      <c r="C192" s="5" t="s">
        <v>133</v>
      </c>
      <c r="D192" s="9" t="s">
        <v>132</v>
      </c>
      <c r="E192" s="5" t="s">
        <v>137</v>
      </c>
      <c r="F192" s="5" t="s">
        <v>149</v>
      </c>
      <c r="G192" s="5" t="s">
        <v>150</v>
      </c>
      <c r="H192" s="5" t="s">
        <v>144</v>
      </c>
      <c r="I192" s="5" t="s">
        <v>11</v>
      </c>
    </row>
    <row r="193" spans="1:9" ht="43.2" x14ac:dyDescent="0.3">
      <c r="A193" s="5" t="s">
        <v>122</v>
      </c>
      <c r="B193" s="5" t="s">
        <v>135</v>
      </c>
      <c r="C193" s="5" t="s">
        <v>133</v>
      </c>
      <c r="D193" s="9" t="s">
        <v>132</v>
      </c>
      <c r="E193" s="5" t="s">
        <v>137</v>
      </c>
      <c r="F193" s="5" t="s">
        <v>149</v>
      </c>
      <c r="G193" s="5" t="s">
        <v>150</v>
      </c>
      <c r="H193" s="5" t="s">
        <v>302</v>
      </c>
      <c r="I193" s="5" t="s">
        <v>11</v>
      </c>
    </row>
    <row r="194" spans="1:9" ht="43.2" x14ac:dyDescent="0.3">
      <c r="A194" s="5" t="s">
        <v>122</v>
      </c>
      <c r="B194" s="5" t="s">
        <v>136</v>
      </c>
      <c r="C194" s="5" t="s">
        <v>133</v>
      </c>
      <c r="D194" s="9" t="s">
        <v>132</v>
      </c>
      <c r="E194" s="5" t="s">
        <v>137</v>
      </c>
      <c r="F194" s="5" t="s">
        <v>149</v>
      </c>
      <c r="G194" s="5" t="s">
        <v>151</v>
      </c>
      <c r="H194" s="5" t="s">
        <v>146</v>
      </c>
      <c r="I194" s="5" t="s">
        <v>6</v>
      </c>
    </row>
    <row r="195" spans="1:9" ht="43.2" x14ac:dyDescent="0.3">
      <c r="A195" s="5" t="s">
        <v>122</v>
      </c>
      <c r="B195" s="5" t="s">
        <v>136</v>
      </c>
      <c r="C195" s="5" t="s">
        <v>133</v>
      </c>
      <c r="D195" s="9" t="s">
        <v>132</v>
      </c>
      <c r="E195" s="5" t="s">
        <v>137</v>
      </c>
      <c r="F195" s="5" t="s">
        <v>149</v>
      </c>
      <c r="G195" s="5" t="s">
        <v>151</v>
      </c>
      <c r="H195" s="5" t="s">
        <v>5</v>
      </c>
      <c r="I195" s="5" t="s">
        <v>154</v>
      </c>
    </row>
    <row r="196" spans="1:9" ht="43.2" x14ac:dyDescent="0.3">
      <c r="A196" s="5" t="s">
        <v>122</v>
      </c>
      <c r="B196" s="5" t="s">
        <v>136</v>
      </c>
      <c r="C196" s="5" t="s">
        <v>133</v>
      </c>
      <c r="D196" s="9" t="s">
        <v>132</v>
      </c>
      <c r="E196" s="5" t="s">
        <v>137</v>
      </c>
      <c r="F196" s="5" t="s">
        <v>149</v>
      </c>
      <c r="G196" s="5" t="s">
        <v>151</v>
      </c>
      <c r="H196" s="5" t="s">
        <v>5</v>
      </c>
      <c r="I196" s="5" t="s">
        <v>301</v>
      </c>
    </row>
    <row r="197" spans="1:9" ht="43.2" x14ac:dyDescent="0.3">
      <c r="A197" s="5" t="s">
        <v>122</v>
      </c>
      <c r="B197" s="5" t="s">
        <v>136</v>
      </c>
      <c r="C197" s="5" t="s">
        <v>133</v>
      </c>
      <c r="D197" s="9" t="s">
        <v>132</v>
      </c>
      <c r="E197" s="5" t="s">
        <v>137</v>
      </c>
      <c r="F197" s="5" t="s">
        <v>149</v>
      </c>
      <c r="G197" s="5" t="s">
        <v>151</v>
      </c>
      <c r="H197" s="5" t="s">
        <v>5</v>
      </c>
      <c r="I197" s="5" t="s">
        <v>6</v>
      </c>
    </row>
    <row r="198" spans="1:9" ht="43.2" x14ac:dyDescent="0.3">
      <c r="A198" s="5" t="s">
        <v>122</v>
      </c>
      <c r="B198" s="5" t="s">
        <v>136</v>
      </c>
      <c r="C198" s="5" t="s">
        <v>133</v>
      </c>
      <c r="D198" s="9" t="s">
        <v>132</v>
      </c>
      <c r="E198" s="5" t="s">
        <v>137</v>
      </c>
      <c r="F198" s="5" t="s">
        <v>149</v>
      </c>
      <c r="G198" s="5" t="s">
        <v>151</v>
      </c>
      <c r="H198" s="5" t="s">
        <v>138</v>
      </c>
      <c r="I198" s="5" t="s">
        <v>301</v>
      </c>
    </row>
    <row r="199" spans="1:9" ht="43.2" x14ac:dyDescent="0.3">
      <c r="A199" s="5" t="s">
        <v>122</v>
      </c>
      <c r="B199" s="5" t="s">
        <v>136</v>
      </c>
      <c r="C199" s="5" t="s">
        <v>133</v>
      </c>
      <c r="D199" s="9" t="s">
        <v>132</v>
      </c>
      <c r="E199" s="5" t="s">
        <v>137</v>
      </c>
      <c r="F199" s="5" t="s">
        <v>149</v>
      </c>
      <c r="G199" s="5" t="s">
        <v>151</v>
      </c>
      <c r="H199" s="5" t="s">
        <v>146</v>
      </c>
      <c r="I199" s="5" t="s">
        <v>301</v>
      </c>
    </row>
    <row r="200" spans="1:9" ht="43.2" x14ac:dyDescent="0.3">
      <c r="A200" s="5" t="s">
        <v>122</v>
      </c>
      <c r="B200" s="5" t="s">
        <v>136</v>
      </c>
      <c r="C200" s="5" t="s">
        <v>133</v>
      </c>
      <c r="D200" s="9" t="s">
        <v>132</v>
      </c>
      <c r="E200" s="5" t="s">
        <v>137</v>
      </c>
      <c r="F200" s="5" t="s">
        <v>149</v>
      </c>
      <c r="G200" s="5" t="s">
        <v>151</v>
      </c>
      <c r="H200" s="5" t="s">
        <v>139</v>
      </c>
      <c r="I200" s="5" t="s">
        <v>301</v>
      </c>
    </row>
    <row r="201" spans="1:9" ht="43.2" x14ac:dyDescent="0.3">
      <c r="A201" s="5" t="s">
        <v>122</v>
      </c>
      <c r="B201" s="5" t="s">
        <v>136</v>
      </c>
      <c r="C201" s="5" t="s">
        <v>133</v>
      </c>
      <c r="D201" s="9" t="s">
        <v>132</v>
      </c>
      <c r="E201" s="5" t="s">
        <v>137</v>
      </c>
      <c r="F201" s="5" t="s">
        <v>149</v>
      </c>
      <c r="G201" s="5" t="s">
        <v>151</v>
      </c>
      <c r="H201" s="5" t="s">
        <v>141</v>
      </c>
      <c r="I201" s="5" t="s">
        <v>301</v>
      </c>
    </row>
    <row r="202" spans="1:9" s="3" customFormat="1" ht="43.2" x14ac:dyDescent="0.3">
      <c r="A202" s="4" t="s">
        <v>122</v>
      </c>
      <c r="B202" s="4" t="s">
        <v>136</v>
      </c>
      <c r="C202" s="4" t="s">
        <v>133</v>
      </c>
      <c r="D202" s="4" t="s">
        <v>132</v>
      </c>
      <c r="E202" s="4" t="s">
        <v>137</v>
      </c>
      <c r="F202" s="4" t="s">
        <v>149</v>
      </c>
      <c r="G202" s="4" t="s">
        <v>151</v>
      </c>
      <c r="H202" s="4" t="s">
        <v>144</v>
      </c>
      <c r="I202" s="4" t="s">
        <v>301</v>
      </c>
    </row>
    <row r="203" spans="1:9" s="3" customFormat="1" ht="43.2" x14ac:dyDescent="0.3">
      <c r="A203" s="4" t="s">
        <v>122</v>
      </c>
      <c r="B203" s="4" t="s">
        <v>136</v>
      </c>
      <c r="C203" s="4" t="s">
        <v>133</v>
      </c>
      <c r="D203" s="4" t="s">
        <v>132</v>
      </c>
      <c r="E203" s="4" t="s">
        <v>137</v>
      </c>
      <c r="F203" s="4" t="s">
        <v>149</v>
      </c>
      <c r="G203" s="4" t="s">
        <v>151</v>
      </c>
      <c r="H203" s="4" t="s">
        <v>138</v>
      </c>
      <c r="I203" s="4" t="s">
        <v>303</v>
      </c>
    </row>
    <row r="204" spans="1:9" s="3" customFormat="1" ht="43.2" x14ac:dyDescent="0.3">
      <c r="A204" s="4" t="s">
        <v>122</v>
      </c>
      <c r="B204" s="4" t="s">
        <v>136</v>
      </c>
      <c r="C204" s="4" t="s">
        <v>133</v>
      </c>
      <c r="D204" s="4" t="s">
        <v>132</v>
      </c>
      <c r="E204" s="4" t="s">
        <v>137</v>
      </c>
      <c r="F204" s="4" t="s">
        <v>149</v>
      </c>
      <c r="G204" s="4" t="s">
        <v>151</v>
      </c>
      <c r="H204" s="4" t="s">
        <v>146</v>
      </c>
      <c r="I204" s="4" t="s">
        <v>303</v>
      </c>
    </row>
    <row r="205" spans="1:9" s="3" customFormat="1" ht="43.2" x14ac:dyDescent="0.3">
      <c r="A205" s="4" t="s">
        <v>122</v>
      </c>
      <c r="B205" s="4" t="s">
        <v>136</v>
      </c>
      <c r="C205" s="4" t="s">
        <v>133</v>
      </c>
      <c r="D205" s="4" t="s">
        <v>132</v>
      </c>
      <c r="E205" s="4" t="s">
        <v>137</v>
      </c>
      <c r="F205" s="4" t="s">
        <v>149</v>
      </c>
      <c r="G205" s="4" t="s">
        <v>151</v>
      </c>
      <c r="H205" s="4" t="s">
        <v>139</v>
      </c>
      <c r="I205" s="4" t="s">
        <v>303</v>
      </c>
    </row>
    <row r="206" spans="1:9" s="3" customFormat="1" ht="43.2" x14ac:dyDescent="0.3">
      <c r="A206" s="4" t="s">
        <v>122</v>
      </c>
      <c r="B206" s="4" t="s">
        <v>136</v>
      </c>
      <c r="C206" s="4" t="s">
        <v>133</v>
      </c>
      <c r="D206" s="4" t="s">
        <v>132</v>
      </c>
      <c r="E206" s="4" t="s">
        <v>137</v>
      </c>
      <c r="F206" s="4" t="s">
        <v>149</v>
      </c>
      <c r="G206" s="4" t="s">
        <v>151</v>
      </c>
      <c r="H206" s="4" t="s">
        <v>141</v>
      </c>
      <c r="I206" s="4" t="s">
        <v>303</v>
      </c>
    </row>
    <row r="207" spans="1:9" s="3" customFormat="1" ht="43.2" x14ac:dyDescent="0.3">
      <c r="A207" s="4" t="s">
        <v>122</v>
      </c>
      <c r="B207" s="4" t="s">
        <v>136</v>
      </c>
      <c r="C207" s="4" t="s">
        <v>133</v>
      </c>
      <c r="D207" s="4" t="s">
        <v>132</v>
      </c>
      <c r="E207" s="4" t="s">
        <v>137</v>
      </c>
      <c r="F207" s="4" t="s">
        <v>149</v>
      </c>
      <c r="G207" s="4" t="s">
        <v>151</v>
      </c>
      <c r="H207" s="4" t="s">
        <v>144</v>
      </c>
      <c r="I207" s="4" t="s">
        <v>303</v>
      </c>
    </row>
    <row r="208" spans="1:9" s="3" customFormat="1" ht="43.2" x14ac:dyDescent="0.3">
      <c r="A208" s="4" t="s">
        <v>122</v>
      </c>
      <c r="B208" s="4" t="s">
        <v>136</v>
      </c>
      <c r="C208" s="4" t="s">
        <v>133</v>
      </c>
      <c r="D208" s="4" t="s">
        <v>132</v>
      </c>
      <c r="E208" s="4" t="s">
        <v>137</v>
      </c>
      <c r="F208" s="4" t="s">
        <v>149</v>
      </c>
      <c r="G208" s="4" t="s">
        <v>151</v>
      </c>
      <c r="H208" s="4" t="s">
        <v>5</v>
      </c>
      <c r="I208" s="4" t="s">
        <v>303</v>
      </c>
    </row>
    <row r="209" spans="1:9" x14ac:dyDescent="0.3">
      <c r="A209" s="5" t="s">
        <v>121</v>
      </c>
      <c r="B209" s="5" t="s">
        <v>3</v>
      </c>
      <c r="C209" s="5" t="s">
        <v>3</v>
      </c>
      <c r="D209" s="9" t="s">
        <v>3</v>
      </c>
      <c r="E209" s="5" t="s">
        <v>3</v>
      </c>
      <c r="F209" s="5" t="s">
        <v>2</v>
      </c>
      <c r="G209" s="5" t="s">
        <v>124</v>
      </c>
      <c r="H209" s="5" t="s">
        <v>138</v>
      </c>
      <c r="I209" s="5" t="s">
        <v>193</v>
      </c>
    </row>
    <row r="210" spans="1:9" x14ac:dyDescent="0.3">
      <c r="A210" s="5" t="s">
        <v>121</v>
      </c>
      <c r="B210" s="5" t="s">
        <v>3</v>
      </c>
      <c r="C210" s="5" t="s">
        <v>3</v>
      </c>
      <c r="D210" s="9" t="s">
        <v>3</v>
      </c>
      <c r="E210" s="5" t="s">
        <v>3</v>
      </c>
      <c r="F210" s="5" t="s">
        <v>2</v>
      </c>
      <c r="G210" s="5" t="s">
        <v>124</v>
      </c>
      <c r="H210" s="5" t="s">
        <v>138</v>
      </c>
      <c r="I210" s="5" t="s">
        <v>192</v>
      </c>
    </row>
    <row r="211" spans="1:9" x14ac:dyDescent="0.3">
      <c r="A211" s="5" t="s">
        <v>121</v>
      </c>
      <c r="B211" s="5" t="s">
        <v>3</v>
      </c>
      <c r="C211" s="5" t="s">
        <v>3</v>
      </c>
      <c r="D211" s="9" t="s">
        <v>3</v>
      </c>
      <c r="E211" s="5" t="s">
        <v>3</v>
      </c>
      <c r="F211" s="5" t="s">
        <v>2</v>
      </c>
      <c r="G211" s="5" t="s">
        <v>124</v>
      </c>
      <c r="H211" s="5" t="s">
        <v>138</v>
      </c>
      <c r="I211" s="5" t="s">
        <v>191</v>
      </c>
    </row>
    <row r="212" spans="1:9" x14ac:dyDescent="0.3">
      <c r="A212" s="5" t="s">
        <v>121</v>
      </c>
      <c r="B212" s="5" t="s">
        <v>3</v>
      </c>
      <c r="C212" s="5" t="s">
        <v>3</v>
      </c>
      <c r="D212" s="9" t="s">
        <v>3</v>
      </c>
      <c r="E212" s="5" t="s">
        <v>3</v>
      </c>
      <c r="F212" s="5" t="s">
        <v>2</v>
      </c>
      <c r="G212" s="5" t="s">
        <v>124</v>
      </c>
      <c r="H212" s="5" t="s">
        <v>140</v>
      </c>
      <c r="I212" s="5" t="s">
        <v>209</v>
      </c>
    </row>
    <row r="213" spans="1:9" x14ac:dyDescent="0.3">
      <c r="A213" s="5" t="s">
        <v>121</v>
      </c>
      <c r="B213" s="5" t="s">
        <v>3</v>
      </c>
      <c r="C213" s="5" t="s">
        <v>3</v>
      </c>
      <c r="D213" s="9" t="s">
        <v>3</v>
      </c>
      <c r="E213" s="5" t="s">
        <v>3</v>
      </c>
      <c r="F213" s="5" t="s">
        <v>2</v>
      </c>
      <c r="G213" s="5" t="s">
        <v>124</v>
      </c>
      <c r="H213" s="5" t="s">
        <v>143</v>
      </c>
      <c r="I213" s="5" t="s">
        <v>193</v>
      </c>
    </row>
    <row r="214" spans="1:9" x14ac:dyDescent="0.3">
      <c r="A214" s="5" t="s">
        <v>121</v>
      </c>
      <c r="B214" s="5" t="s">
        <v>3</v>
      </c>
      <c r="C214" s="5" t="s">
        <v>3</v>
      </c>
      <c r="D214" s="9" t="s">
        <v>3</v>
      </c>
      <c r="E214" s="5" t="s">
        <v>3</v>
      </c>
      <c r="F214" s="5" t="s">
        <v>2</v>
      </c>
      <c r="G214" s="5" t="s">
        <v>124</v>
      </c>
      <c r="H214" s="5" t="s">
        <v>143</v>
      </c>
      <c r="I214" s="5" t="s">
        <v>202</v>
      </c>
    </row>
    <row r="215" spans="1:9" x14ac:dyDescent="0.3">
      <c r="A215" s="5" t="s">
        <v>121</v>
      </c>
      <c r="B215" s="5" t="s">
        <v>3</v>
      </c>
      <c r="C215" s="5" t="s">
        <v>3</v>
      </c>
      <c r="D215" s="9" t="s">
        <v>3</v>
      </c>
      <c r="E215" s="5" t="s">
        <v>3</v>
      </c>
      <c r="F215" s="5" t="s">
        <v>2</v>
      </c>
      <c r="G215" s="5" t="s">
        <v>124</v>
      </c>
      <c r="H215" s="5" t="s">
        <v>143</v>
      </c>
      <c r="I215" s="5" t="s">
        <v>177</v>
      </c>
    </row>
    <row r="216" spans="1:9" x14ac:dyDescent="0.3">
      <c r="A216" s="5" t="s">
        <v>121</v>
      </c>
      <c r="B216" s="5" t="s">
        <v>3</v>
      </c>
      <c r="C216" s="5" t="s">
        <v>3</v>
      </c>
      <c r="D216" s="9" t="s">
        <v>3</v>
      </c>
      <c r="E216" s="5" t="s">
        <v>3</v>
      </c>
      <c r="F216" s="5" t="s">
        <v>2</v>
      </c>
      <c r="G216" s="5" t="s">
        <v>124</v>
      </c>
      <c r="H216" s="5" t="s">
        <v>143</v>
      </c>
      <c r="I216" s="5" t="s">
        <v>148</v>
      </c>
    </row>
    <row r="217" spans="1:9" x14ac:dyDescent="0.3">
      <c r="A217" s="5" t="s">
        <v>121</v>
      </c>
      <c r="B217" s="5" t="s">
        <v>3</v>
      </c>
      <c r="C217" s="5" t="s">
        <v>3</v>
      </c>
      <c r="D217" s="9" t="s">
        <v>3</v>
      </c>
      <c r="E217" s="5" t="s">
        <v>3</v>
      </c>
      <c r="F217" s="5" t="s">
        <v>2</v>
      </c>
      <c r="G217" s="5" t="s">
        <v>124</v>
      </c>
      <c r="H217" s="5" t="s">
        <v>143</v>
      </c>
      <c r="I217" s="5" t="s">
        <v>192</v>
      </c>
    </row>
    <row r="218" spans="1:9" ht="43.2" x14ac:dyDescent="0.3">
      <c r="A218" s="5" t="s">
        <v>121</v>
      </c>
      <c r="B218" s="5" t="s">
        <v>3</v>
      </c>
      <c r="C218" s="5" t="s">
        <v>3</v>
      </c>
      <c r="D218" s="9" t="s">
        <v>3</v>
      </c>
      <c r="E218" s="5" t="s">
        <v>3</v>
      </c>
      <c r="F218" s="5" t="s">
        <v>2</v>
      </c>
      <c r="G218" s="5" t="s">
        <v>123</v>
      </c>
      <c r="H218" s="5" t="s">
        <v>142</v>
      </c>
      <c r="I218" s="5" t="s">
        <v>201</v>
      </c>
    </row>
    <row r="219" spans="1:9" x14ac:dyDescent="0.3">
      <c r="A219" s="5" t="s">
        <v>121</v>
      </c>
      <c r="B219" s="5" t="s">
        <v>3</v>
      </c>
      <c r="C219" s="5" t="s">
        <v>3</v>
      </c>
      <c r="D219" s="9" t="s">
        <v>3</v>
      </c>
      <c r="E219" s="5" t="s">
        <v>3</v>
      </c>
      <c r="F219" s="5" t="s">
        <v>2</v>
      </c>
      <c r="G219" s="5" t="s">
        <v>123</v>
      </c>
      <c r="H219" s="5" t="s">
        <v>142</v>
      </c>
      <c r="I219" s="5" t="s">
        <v>195</v>
      </c>
    </row>
    <row r="220" spans="1:9" x14ac:dyDescent="0.3">
      <c r="A220" s="5" t="s">
        <v>121</v>
      </c>
      <c r="B220" s="5" t="s">
        <v>3</v>
      </c>
      <c r="C220" s="5" t="s">
        <v>3</v>
      </c>
      <c r="D220" s="9" t="s">
        <v>3</v>
      </c>
      <c r="E220" s="5" t="s">
        <v>3</v>
      </c>
      <c r="F220" s="5" t="s">
        <v>2</v>
      </c>
      <c r="G220" s="5" t="s">
        <v>123</v>
      </c>
      <c r="H220" s="5" t="s">
        <v>142</v>
      </c>
      <c r="I220" s="5" t="s">
        <v>198</v>
      </c>
    </row>
    <row r="221" spans="1:9" x14ac:dyDescent="0.3">
      <c r="A221" s="5" t="s">
        <v>121</v>
      </c>
      <c r="B221" s="5" t="s">
        <v>3</v>
      </c>
      <c r="C221" s="5" t="s">
        <v>3</v>
      </c>
      <c r="D221" s="9" t="s">
        <v>3</v>
      </c>
      <c r="E221" s="5" t="s">
        <v>3</v>
      </c>
      <c r="F221" s="5" t="s">
        <v>2</v>
      </c>
      <c r="G221" s="5" t="s">
        <v>123</v>
      </c>
      <c r="H221" s="5" t="s">
        <v>142</v>
      </c>
      <c r="I221" s="5" t="s">
        <v>196</v>
      </c>
    </row>
    <row r="222" spans="1:9" ht="43.2" x14ac:dyDescent="0.3">
      <c r="A222" s="5" t="s">
        <v>121</v>
      </c>
      <c r="B222" s="5" t="s">
        <v>3</v>
      </c>
      <c r="C222" s="5" t="s">
        <v>3</v>
      </c>
      <c r="D222" s="9" t="s">
        <v>3</v>
      </c>
      <c r="E222" s="5" t="s">
        <v>3</v>
      </c>
      <c r="F222" s="5" t="s">
        <v>2</v>
      </c>
      <c r="G222" s="5" t="s">
        <v>123</v>
      </c>
      <c r="H222" s="5" t="s">
        <v>142</v>
      </c>
      <c r="I222" s="5" t="s">
        <v>199</v>
      </c>
    </row>
    <row r="223" spans="1:9" x14ac:dyDescent="0.3">
      <c r="A223" s="5" t="s">
        <v>121</v>
      </c>
      <c r="B223" s="5" t="s">
        <v>3</v>
      </c>
      <c r="C223" s="5" t="s">
        <v>3</v>
      </c>
      <c r="D223" s="9" t="s">
        <v>3</v>
      </c>
      <c r="E223" s="5" t="s">
        <v>3</v>
      </c>
      <c r="F223" s="5" t="s">
        <v>2</v>
      </c>
      <c r="G223" s="5" t="s">
        <v>123</v>
      </c>
      <c r="H223" s="5" t="s">
        <v>142</v>
      </c>
      <c r="I223" s="5" t="s">
        <v>197</v>
      </c>
    </row>
    <row r="224" spans="1:9" x14ac:dyDescent="0.3">
      <c r="A224" s="5" t="s">
        <v>121</v>
      </c>
      <c r="B224" s="5" t="s">
        <v>3</v>
      </c>
      <c r="C224" s="5" t="s">
        <v>3</v>
      </c>
      <c r="D224" s="9" t="s">
        <v>3</v>
      </c>
      <c r="E224" s="5" t="s">
        <v>3</v>
      </c>
      <c r="F224" s="5" t="s">
        <v>2</v>
      </c>
      <c r="G224" s="5" t="s">
        <v>123</v>
      </c>
      <c r="H224" s="5" t="s">
        <v>143</v>
      </c>
      <c r="I224" s="5" t="s">
        <v>190</v>
      </c>
    </row>
    <row r="225" spans="1:9" x14ac:dyDescent="0.3">
      <c r="A225" s="5" t="s">
        <v>121</v>
      </c>
      <c r="B225" s="5" t="s">
        <v>3</v>
      </c>
      <c r="C225" s="5" t="s">
        <v>3</v>
      </c>
      <c r="D225" s="9" t="s">
        <v>3</v>
      </c>
      <c r="E225" s="5" t="s">
        <v>3</v>
      </c>
      <c r="F225" s="5" t="s">
        <v>2</v>
      </c>
      <c r="G225" s="5" t="s">
        <v>123</v>
      </c>
      <c r="H225" s="5" t="s">
        <v>143</v>
      </c>
      <c r="I225" s="5" t="s">
        <v>194</v>
      </c>
    </row>
    <row r="226" spans="1:9" x14ac:dyDescent="0.3">
      <c r="A226" s="5" t="s">
        <v>121</v>
      </c>
      <c r="B226" s="5" t="s">
        <v>3</v>
      </c>
      <c r="C226" s="5" t="s">
        <v>3</v>
      </c>
      <c r="D226" s="9" t="s">
        <v>3</v>
      </c>
      <c r="E226" s="5" t="s">
        <v>3</v>
      </c>
      <c r="F226" s="5" t="s">
        <v>2</v>
      </c>
      <c r="G226" s="5" t="s">
        <v>123</v>
      </c>
      <c r="H226" s="5" t="s">
        <v>140</v>
      </c>
      <c r="I226" s="5" t="s">
        <v>194</v>
      </c>
    </row>
    <row r="227" spans="1:9" x14ac:dyDescent="0.3">
      <c r="A227" s="5" t="s">
        <v>121</v>
      </c>
      <c r="B227" s="5" t="s">
        <v>3</v>
      </c>
      <c r="C227" s="5" t="s">
        <v>3</v>
      </c>
      <c r="D227" s="9" t="s">
        <v>3</v>
      </c>
      <c r="E227" s="5" t="s">
        <v>3</v>
      </c>
      <c r="F227" s="5" t="s">
        <v>2</v>
      </c>
      <c r="G227" s="5" t="s">
        <v>123</v>
      </c>
      <c r="H227" s="5" t="s">
        <v>140</v>
      </c>
      <c r="I227" s="5" t="s">
        <v>190</v>
      </c>
    </row>
    <row r="228" spans="1:9" ht="43.2" x14ac:dyDescent="0.3">
      <c r="A228" s="5" t="s">
        <v>121</v>
      </c>
      <c r="B228" s="5" t="s">
        <v>61</v>
      </c>
      <c r="C228" s="5" t="s">
        <v>133</v>
      </c>
      <c r="D228" s="9" t="s">
        <v>132</v>
      </c>
      <c r="E228" s="5" t="s">
        <v>137</v>
      </c>
      <c r="F228" s="5" t="s">
        <v>2</v>
      </c>
      <c r="G228" s="5" t="s">
        <v>205</v>
      </c>
      <c r="H228" s="5" t="s">
        <v>3</v>
      </c>
      <c r="I228" s="5" t="s">
        <v>200</v>
      </c>
    </row>
    <row r="229" spans="1:9" ht="43.2" x14ac:dyDescent="0.3">
      <c r="A229" s="5" t="s">
        <v>121</v>
      </c>
      <c r="B229" s="5" t="s">
        <v>134</v>
      </c>
      <c r="C229" s="5" t="s">
        <v>133</v>
      </c>
      <c r="D229" s="9" t="s">
        <v>132</v>
      </c>
      <c r="E229" s="5" t="s">
        <v>137</v>
      </c>
      <c r="F229" s="5" t="s">
        <v>2</v>
      </c>
      <c r="G229" s="5" t="s">
        <v>304</v>
      </c>
      <c r="H229" s="5" t="s">
        <v>138</v>
      </c>
      <c r="I229" s="5" t="s">
        <v>288</v>
      </c>
    </row>
    <row r="230" spans="1:9" ht="43.2" x14ac:dyDescent="0.3">
      <c r="A230" s="5" t="s">
        <v>121</v>
      </c>
      <c r="B230" s="5" t="s">
        <v>134</v>
      </c>
      <c r="C230" s="5" t="s">
        <v>133</v>
      </c>
      <c r="D230" s="9" t="s">
        <v>132</v>
      </c>
      <c r="E230" s="5" t="s">
        <v>137</v>
      </c>
      <c r="F230" s="5" t="s">
        <v>2</v>
      </c>
      <c r="G230" s="5" t="s">
        <v>304</v>
      </c>
      <c r="H230" s="5" t="s">
        <v>141</v>
      </c>
      <c r="I230" s="5" t="s">
        <v>288</v>
      </c>
    </row>
    <row r="231" spans="1:9" ht="43.2" x14ac:dyDescent="0.3">
      <c r="A231" s="5" t="s">
        <v>121</v>
      </c>
      <c r="B231" s="5" t="s">
        <v>134</v>
      </c>
      <c r="C231" s="5" t="s">
        <v>133</v>
      </c>
      <c r="D231" s="9" t="s">
        <v>132</v>
      </c>
      <c r="E231" s="5" t="s">
        <v>137</v>
      </c>
      <c r="F231" s="5" t="s">
        <v>2</v>
      </c>
      <c r="G231" s="5" t="s">
        <v>304</v>
      </c>
      <c r="H231" s="5" t="s">
        <v>139</v>
      </c>
      <c r="I231" s="5" t="s">
        <v>288</v>
      </c>
    </row>
    <row r="232" spans="1:9" ht="43.2" x14ac:dyDescent="0.3">
      <c r="A232" s="5" t="s">
        <v>121</v>
      </c>
      <c r="B232" s="5" t="s">
        <v>134</v>
      </c>
      <c r="C232" s="5" t="s">
        <v>133</v>
      </c>
      <c r="D232" s="9" t="s">
        <v>132</v>
      </c>
      <c r="E232" s="5" t="s">
        <v>137</v>
      </c>
      <c r="F232" s="5" t="s">
        <v>2</v>
      </c>
      <c r="G232" s="5" t="s">
        <v>304</v>
      </c>
      <c r="H232" s="5" t="s">
        <v>5</v>
      </c>
      <c r="I232" s="5" t="s">
        <v>288</v>
      </c>
    </row>
    <row r="233" spans="1:9" ht="43.2" x14ac:dyDescent="0.3">
      <c r="A233" s="5" t="s">
        <v>121</v>
      </c>
      <c r="B233" s="5" t="s">
        <v>134</v>
      </c>
      <c r="C233" s="5" t="s">
        <v>133</v>
      </c>
      <c r="D233" s="9" t="s">
        <v>132</v>
      </c>
      <c r="E233" s="5" t="s">
        <v>137</v>
      </c>
      <c r="F233" s="5" t="s">
        <v>2</v>
      </c>
      <c r="G233" s="5" t="s">
        <v>304</v>
      </c>
      <c r="H233" s="5" t="s">
        <v>140</v>
      </c>
      <c r="I233" s="5" t="s">
        <v>288</v>
      </c>
    </row>
    <row r="234" spans="1:9" ht="43.2" x14ac:dyDescent="0.3">
      <c r="A234" s="5" t="s">
        <v>121</v>
      </c>
      <c r="B234" s="5" t="s">
        <v>134</v>
      </c>
      <c r="C234" s="5" t="s">
        <v>133</v>
      </c>
      <c r="D234" s="9" t="s">
        <v>132</v>
      </c>
      <c r="E234" s="5" t="s">
        <v>137</v>
      </c>
      <c r="F234" s="5" t="s">
        <v>2</v>
      </c>
      <c r="G234" s="5" t="s">
        <v>304</v>
      </c>
      <c r="H234" s="5" t="s">
        <v>144</v>
      </c>
      <c r="I234" s="5" t="s">
        <v>288</v>
      </c>
    </row>
    <row r="235" spans="1:9" ht="43.2" x14ac:dyDescent="0.3">
      <c r="A235" s="5" t="s">
        <v>121</v>
      </c>
      <c r="B235" s="5" t="s">
        <v>134</v>
      </c>
      <c r="C235" s="5" t="s">
        <v>133</v>
      </c>
      <c r="D235" s="9" t="s">
        <v>132</v>
      </c>
      <c r="E235" s="5" t="s">
        <v>137</v>
      </c>
      <c r="F235" s="5" t="s">
        <v>4</v>
      </c>
      <c r="G235" s="5" t="s">
        <v>208</v>
      </c>
      <c r="H235" s="5" t="s">
        <v>138</v>
      </c>
      <c r="I235" s="5" t="s">
        <v>11</v>
      </c>
    </row>
    <row r="236" spans="1:9" ht="43.2" x14ac:dyDescent="0.3">
      <c r="A236" s="5" t="s">
        <v>121</v>
      </c>
      <c r="B236" s="5" t="s">
        <v>134</v>
      </c>
      <c r="C236" s="5" t="s">
        <v>133</v>
      </c>
      <c r="D236" s="9" t="s">
        <v>132</v>
      </c>
      <c r="E236" s="5" t="s">
        <v>137</v>
      </c>
      <c r="F236" s="5" t="s">
        <v>4</v>
      </c>
      <c r="G236" s="5" t="s">
        <v>208</v>
      </c>
      <c r="H236" s="5" t="s">
        <v>138</v>
      </c>
      <c r="I236" s="5" t="s">
        <v>147</v>
      </c>
    </row>
    <row r="237" spans="1:9" ht="43.2" x14ac:dyDescent="0.3">
      <c r="A237" s="5" t="s">
        <v>121</v>
      </c>
      <c r="B237" s="5" t="s">
        <v>135</v>
      </c>
      <c r="C237" s="5" t="s">
        <v>133</v>
      </c>
      <c r="D237" s="9" t="s">
        <v>132</v>
      </c>
      <c r="E237" s="5" t="s">
        <v>137</v>
      </c>
      <c r="F237" s="5" t="s">
        <v>4</v>
      </c>
      <c r="G237" s="5" t="s">
        <v>208</v>
      </c>
      <c r="H237" s="5" t="s">
        <v>141</v>
      </c>
      <c r="I237" s="5" t="s">
        <v>152</v>
      </c>
    </row>
    <row r="238" spans="1:9" ht="43.2" x14ac:dyDescent="0.3">
      <c r="A238" s="5" t="s">
        <v>121</v>
      </c>
      <c r="B238" s="5" t="s">
        <v>135</v>
      </c>
      <c r="C238" s="5" t="s">
        <v>133</v>
      </c>
      <c r="D238" s="9" t="s">
        <v>132</v>
      </c>
      <c r="E238" s="5" t="s">
        <v>137</v>
      </c>
      <c r="F238" s="5" t="s">
        <v>4</v>
      </c>
      <c r="G238" s="5" t="s">
        <v>208</v>
      </c>
      <c r="H238" s="5" t="s">
        <v>141</v>
      </c>
      <c r="I238" s="5" t="s">
        <v>11</v>
      </c>
    </row>
    <row r="239" spans="1:9" ht="43.2" x14ac:dyDescent="0.3">
      <c r="A239" s="5" t="s">
        <v>121</v>
      </c>
      <c r="B239" s="5" t="s">
        <v>135</v>
      </c>
      <c r="C239" s="5" t="s">
        <v>133</v>
      </c>
      <c r="D239" s="9" t="s">
        <v>132</v>
      </c>
      <c r="E239" s="5" t="s">
        <v>137</v>
      </c>
      <c r="F239" s="5" t="s">
        <v>4</v>
      </c>
      <c r="G239" s="5" t="s">
        <v>208</v>
      </c>
      <c r="H239" s="5" t="s">
        <v>141</v>
      </c>
      <c r="I239" s="5" t="s">
        <v>157</v>
      </c>
    </row>
    <row r="240" spans="1:9" ht="43.2" x14ac:dyDescent="0.3">
      <c r="A240" s="5" t="s">
        <v>121</v>
      </c>
      <c r="B240" s="5" t="s">
        <v>135</v>
      </c>
      <c r="C240" s="5" t="s">
        <v>133</v>
      </c>
      <c r="D240" s="9" t="s">
        <v>132</v>
      </c>
      <c r="E240" s="5" t="s">
        <v>137</v>
      </c>
      <c r="F240" s="5" t="s">
        <v>4</v>
      </c>
      <c r="G240" s="5" t="s">
        <v>208</v>
      </c>
      <c r="H240" s="5" t="s">
        <v>141</v>
      </c>
      <c r="I240" s="5" t="s">
        <v>147</v>
      </c>
    </row>
    <row r="241" spans="1:9" ht="43.2" x14ac:dyDescent="0.3">
      <c r="A241" s="5" t="s">
        <v>121</v>
      </c>
      <c r="B241" s="5" t="s">
        <v>135</v>
      </c>
      <c r="C241" s="5" t="s">
        <v>133</v>
      </c>
      <c r="D241" s="9" t="s">
        <v>132</v>
      </c>
      <c r="E241" s="5" t="s">
        <v>137</v>
      </c>
      <c r="F241" s="5" t="s">
        <v>4</v>
      </c>
      <c r="G241" s="5" t="s">
        <v>208</v>
      </c>
      <c r="H241" s="5" t="s">
        <v>139</v>
      </c>
      <c r="I241" s="5" t="s">
        <v>153</v>
      </c>
    </row>
    <row r="242" spans="1:9" ht="43.2" x14ac:dyDescent="0.3">
      <c r="A242" s="5" t="s">
        <v>121</v>
      </c>
      <c r="B242" s="5" t="s">
        <v>135</v>
      </c>
      <c r="C242" s="5" t="s">
        <v>133</v>
      </c>
      <c r="D242" s="9" t="s">
        <v>132</v>
      </c>
      <c r="E242" s="5" t="s">
        <v>137</v>
      </c>
      <c r="F242" s="5" t="s">
        <v>4</v>
      </c>
      <c r="G242" s="5" t="s">
        <v>208</v>
      </c>
      <c r="H242" s="5" t="s">
        <v>139</v>
      </c>
      <c r="I242" s="5" t="s">
        <v>155</v>
      </c>
    </row>
    <row r="243" spans="1:9" ht="43.2" x14ac:dyDescent="0.3">
      <c r="A243" s="5" t="s">
        <v>121</v>
      </c>
      <c r="B243" s="5" t="s">
        <v>135</v>
      </c>
      <c r="C243" s="5" t="s">
        <v>133</v>
      </c>
      <c r="D243" s="9" t="s">
        <v>132</v>
      </c>
      <c r="E243" s="5" t="s">
        <v>137</v>
      </c>
      <c r="F243" s="5" t="s">
        <v>4</v>
      </c>
      <c r="G243" s="5" t="s">
        <v>208</v>
      </c>
      <c r="H243" s="5" t="s">
        <v>139</v>
      </c>
      <c r="I243" s="5" t="s">
        <v>157</v>
      </c>
    </row>
    <row r="244" spans="1:9" ht="43.2" x14ac:dyDescent="0.3">
      <c r="A244" s="5" t="s">
        <v>121</v>
      </c>
      <c r="B244" s="5" t="s">
        <v>135</v>
      </c>
      <c r="C244" s="5" t="s">
        <v>133</v>
      </c>
      <c r="D244" s="9" t="s">
        <v>132</v>
      </c>
      <c r="E244" s="5" t="s">
        <v>137</v>
      </c>
      <c r="F244" s="5" t="s">
        <v>4</v>
      </c>
      <c r="G244" s="5" t="s">
        <v>208</v>
      </c>
      <c r="H244" s="5" t="s">
        <v>139</v>
      </c>
      <c r="I244" s="5" t="s">
        <v>147</v>
      </c>
    </row>
    <row r="245" spans="1:9" ht="43.2" x14ac:dyDescent="0.3">
      <c r="A245" s="5" t="s">
        <v>121</v>
      </c>
      <c r="B245" s="5" t="s">
        <v>59</v>
      </c>
      <c r="C245" s="5" t="s">
        <v>133</v>
      </c>
      <c r="D245" s="9" t="s">
        <v>132</v>
      </c>
      <c r="E245" s="5" t="s">
        <v>137</v>
      </c>
      <c r="F245" s="5" t="s">
        <v>4</v>
      </c>
      <c r="G245" s="5" t="s">
        <v>208</v>
      </c>
      <c r="H245" s="5" t="s">
        <v>5</v>
      </c>
      <c r="I245" s="5" t="s">
        <v>11</v>
      </c>
    </row>
    <row r="246" spans="1:9" ht="43.2" x14ac:dyDescent="0.3">
      <c r="A246" s="5" t="s">
        <v>121</v>
      </c>
      <c r="B246" s="5" t="s">
        <v>59</v>
      </c>
      <c r="C246" s="5" t="s">
        <v>133</v>
      </c>
      <c r="D246" s="9" t="s">
        <v>132</v>
      </c>
      <c r="E246" s="5" t="s">
        <v>137</v>
      </c>
      <c r="F246" s="5" t="s">
        <v>4</v>
      </c>
      <c r="G246" s="5" t="s">
        <v>208</v>
      </c>
      <c r="H246" s="5" t="s">
        <v>5</v>
      </c>
      <c r="I246" s="5" t="s">
        <v>154</v>
      </c>
    </row>
    <row r="247" spans="1:9" ht="43.2" x14ac:dyDescent="0.3">
      <c r="A247" s="5" t="s">
        <v>121</v>
      </c>
      <c r="B247" s="5" t="s">
        <v>59</v>
      </c>
      <c r="C247" s="5" t="s">
        <v>133</v>
      </c>
      <c r="D247" s="9" t="s">
        <v>132</v>
      </c>
      <c r="E247" s="5" t="s">
        <v>137</v>
      </c>
      <c r="F247" s="5" t="s">
        <v>4</v>
      </c>
      <c r="G247" s="5" t="s">
        <v>208</v>
      </c>
      <c r="H247" s="5" t="s">
        <v>5</v>
      </c>
      <c r="I247" s="5" t="s">
        <v>157</v>
      </c>
    </row>
    <row r="248" spans="1:9" ht="43.2" x14ac:dyDescent="0.3">
      <c r="A248" s="5" t="s">
        <v>121</v>
      </c>
      <c r="B248" s="5" t="s">
        <v>59</v>
      </c>
      <c r="C248" s="5" t="s">
        <v>133</v>
      </c>
      <c r="D248" s="9" t="s">
        <v>132</v>
      </c>
      <c r="E248" s="5" t="s">
        <v>137</v>
      </c>
      <c r="F248" s="5" t="s">
        <v>4</v>
      </c>
      <c r="G248" s="5" t="s">
        <v>208</v>
      </c>
      <c r="H248" s="5" t="s">
        <v>5</v>
      </c>
      <c r="I248" s="5" t="s">
        <v>147</v>
      </c>
    </row>
    <row r="249" spans="1:9" ht="43.2" x14ac:dyDescent="0.3">
      <c r="A249" s="5" t="s">
        <v>121</v>
      </c>
      <c r="B249" s="5" t="s">
        <v>135</v>
      </c>
      <c r="C249" s="5" t="s">
        <v>133</v>
      </c>
      <c r="D249" s="9" t="s">
        <v>132</v>
      </c>
      <c r="E249" s="5" t="s">
        <v>137</v>
      </c>
      <c r="F249" s="5" t="s">
        <v>4</v>
      </c>
      <c r="G249" s="5" t="s">
        <v>208</v>
      </c>
      <c r="H249" s="5" t="s">
        <v>145</v>
      </c>
      <c r="I249" s="5" t="s">
        <v>11</v>
      </c>
    </row>
    <row r="250" spans="1:9" ht="43.2" x14ac:dyDescent="0.3">
      <c r="A250" s="5" t="s">
        <v>121</v>
      </c>
      <c r="B250" s="5" t="s">
        <v>135</v>
      </c>
      <c r="C250" s="5" t="s">
        <v>133</v>
      </c>
      <c r="D250" s="9" t="s">
        <v>132</v>
      </c>
      <c r="E250" s="5" t="s">
        <v>137</v>
      </c>
      <c r="F250" s="5" t="s">
        <v>4</v>
      </c>
      <c r="G250" s="5" t="s">
        <v>208</v>
      </c>
      <c r="H250" s="5" t="s">
        <v>145</v>
      </c>
      <c r="I250" s="5" t="s">
        <v>207</v>
      </c>
    </row>
    <row r="251" spans="1:9" ht="43.2" x14ac:dyDescent="0.3">
      <c r="A251" s="5" t="s">
        <v>121</v>
      </c>
      <c r="B251" s="5" t="s">
        <v>135</v>
      </c>
      <c r="C251" s="5" t="s">
        <v>133</v>
      </c>
      <c r="D251" s="9" t="s">
        <v>132</v>
      </c>
      <c r="E251" s="5" t="s">
        <v>137</v>
      </c>
      <c r="F251" s="5" t="s">
        <v>4</v>
      </c>
      <c r="G251" s="5" t="s">
        <v>208</v>
      </c>
      <c r="H251" s="5" t="s">
        <v>145</v>
      </c>
      <c r="I251" s="5" t="s">
        <v>147</v>
      </c>
    </row>
    <row r="252" spans="1:9" ht="43.2" x14ac:dyDescent="0.3">
      <c r="A252" s="5" t="s">
        <v>121</v>
      </c>
      <c r="B252" s="5" t="s">
        <v>135</v>
      </c>
      <c r="C252" s="5" t="s">
        <v>133</v>
      </c>
      <c r="D252" s="9" t="s">
        <v>132</v>
      </c>
      <c r="E252" s="5" t="s">
        <v>137</v>
      </c>
      <c r="F252" s="5" t="s">
        <v>4</v>
      </c>
      <c r="G252" s="5" t="s">
        <v>208</v>
      </c>
      <c r="H252" s="5" t="s">
        <v>145</v>
      </c>
      <c r="I252" s="5" t="s">
        <v>154</v>
      </c>
    </row>
    <row r="253" spans="1:9" ht="43.2" x14ac:dyDescent="0.3">
      <c r="A253" s="5" t="s">
        <v>121</v>
      </c>
      <c r="B253" s="5" t="s">
        <v>136</v>
      </c>
      <c r="C253" s="5" t="s">
        <v>133</v>
      </c>
      <c r="D253" s="9" t="s">
        <v>132</v>
      </c>
      <c r="E253" s="5" t="s">
        <v>137</v>
      </c>
      <c r="F253" s="5" t="s">
        <v>4</v>
      </c>
      <c r="G253" s="5" t="s">
        <v>208</v>
      </c>
      <c r="H253" s="5" t="s">
        <v>146</v>
      </c>
      <c r="I253" s="5" t="s">
        <v>6</v>
      </c>
    </row>
    <row r="254" spans="1:9" ht="43.2" x14ac:dyDescent="0.3">
      <c r="A254" s="5" t="s">
        <v>121</v>
      </c>
      <c r="B254" s="5" t="s">
        <v>136</v>
      </c>
      <c r="C254" s="5" t="s">
        <v>133</v>
      </c>
      <c r="D254" s="9" t="s">
        <v>132</v>
      </c>
      <c r="E254" s="5" t="s">
        <v>137</v>
      </c>
      <c r="F254" s="5" t="s">
        <v>4</v>
      </c>
      <c r="G254" s="5" t="s">
        <v>208</v>
      </c>
      <c r="H254" s="5" t="s">
        <v>146</v>
      </c>
      <c r="I254" s="5" t="s">
        <v>157</v>
      </c>
    </row>
    <row r="255" spans="1:9" ht="43.2" x14ac:dyDescent="0.3">
      <c r="A255" s="5" t="s">
        <v>121</v>
      </c>
      <c r="B255" s="5" t="s">
        <v>136</v>
      </c>
      <c r="C255" s="5" t="s">
        <v>133</v>
      </c>
      <c r="D255" s="9" t="s">
        <v>132</v>
      </c>
      <c r="E255" s="5" t="s">
        <v>137</v>
      </c>
      <c r="F255" s="5" t="s">
        <v>4</v>
      </c>
      <c r="G255" s="5" t="s">
        <v>208</v>
      </c>
      <c r="H255" s="5" t="s">
        <v>146</v>
      </c>
      <c r="I255" s="5" t="s">
        <v>159</v>
      </c>
    </row>
    <row r="256" spans="1:9" ht="43.2" x14ac:dyDescent="0.3">
      <c r="A256" s="5" t="s">
        <v>121</v>
      </c>
      <c r="B256" s="5" t="s">
        <v>134</v>
      </c>
      <c r="C256" s="5" t="s">
        <v>133</v>
      </c>
      <c r="D256" s="9" t="s">
        <v>132</v>
      </c>
      <c r="E256" s="5" t="s">
        <v>137</v>
      </c>
      <c r="F256" s="5" t="s">
        <v>4</v>
      </c>
      <c r="G256" s="5" t="s">
        <v>208</v>
      </c>
      <c r="H256" s="5" t="s">
        <v>138</v>
      </c>
      <c r="I256" s="5" t="s">
        <v>288</v>
      </c>
    </row>
    <row r="257" spans="1:9" ht="43.2" x14ac:dyDescent="0.3">
      <c r="A257" s="5" t="s">
        <v>121</v>
      </c>
      <c r="B257" s="5" t="s">
        <v>134</v>
      </c>
      <c r="C257" s="5" t="s">
        <v>133</v>
      </c>
      <c r="D257" s="9" t="s">
        <v>132</v>
      </c>
      <c r="E257" s="5" t="s">
        <v>137</v>
      </c>
      <c r="F257" s="5" t="s">
        <v>4</v>
      </c>
      <c r="G257" s="5" t="s">
        <v>208</v>
      </c>
      <c r="H257" s="5" t="s">
        <v>141</v>
      </c>
      <c r="I257" s="5" t="s">
        <v>288</v>
      </c>
    </row>
    <row r="258" spans="1:9" ht="43.2" x14ac:dyDescent="0.3">
      <c r="A258" s="5" t="s">
        <v>121</v>
      </c>
      <c r="B258" s="5" t="s">
        <v>134</v>
      </c>
      <c r="C258" s="5" t="s">
        <v>133</v>
      </c>
      <c r="D258" s="9" t="s">
        <v>132</v>
      </c>
      <c r="E258" s="5" t="s">
        <v>137</v>
      </c>
      <c r="F258" s="5" t="s">
        <v>4</v>
      </c>
      <c r="G258" s="5" t="s">
        <v>208</v>
      </c>
      <c r="H258" s="5" t="s">
        <v>139</v>
      </c>
      <c r="I258" s="5" t="s">
        <v>288</v>
      </c>
    </row>
    <row r="259" spans="1:9" ht="43.2" x14ac:dyDescent="0.3">
      <c r="A259" s="5" t="s">
        <v>121</v>
      </c>
      <c r="B259" s="5" t="s">
        <v>134</v>
      </c>
      <c r="C259" s="5" t="s">
        <v>133</v>
      </c>
      <c r="D259" s="9" t="s">
        <v>132</v>
      </c>
      <c r="E259" s="5" t="s">
        <v>137</v>
      </c>
      <c r="F259" s="5" t="s">
        <v>4</v>
      </c>
      <c r="G259" s="5" t="s">
        <v>208</v>
      </c>
      <c r="H259" s="5" t="s">
        <v>5</v>
      </c>
      <c r="I259" s="5" t="s">
        <v>288</v>
      </c>
    </row>
    <row r="260" spans="1:9" ht="43.2" x14ac:dyDescent="0.3">
      <c r="A260" s="5" t="s">
        <v>121</v>
      </c>
      <c r="B260" s="5" t="s">
        <v>134</v>
      </c>
      <c r="C260" s="5" t="s">
        <v>133</v>
      </c>
      <c r="D260" s="9" t="s">
        <v>132</v>
      </c>
      <c r="E260" s="5" t="s">
        <v>137</v>
      </c>
      <c r="F260" s="5" t="s">
        <v>4</v>
      </c>
      <c r="G260" s="5" t="s">
        <v>208</v>
      </c>
      <c r="H260" s="5" t="s">
        <v>140</v>
      </c>
      <c r="I260" s="5" t="s">
        <v>288</v>
      </c>
    </row>
    <row r="261" spans="1:9" ht="43.2" x14ac:dyDescent="0.3">
      <c r="A261" s="5" t="s">
        <v>121</v>
      </c>
      <c r="B261" s="5" t="s">
        <v>134</v>
      </c>
      <c r="C261" s="5" t="s">
        <v>133</v>
      </c>
      <c r="D261" s="9" t="s">
        <v>132</v>
      </c>
      <c r="E261" s="5" t="s">
        <v>137</v>
      </c>
      <c r="F261" s="5" t="s">
        <v>4</v>
      </c>
      <c r="G261" s="5" t="s">
        <v>208</v>
      </c>
      <c r="H261" s="5" t="s">
        <v>144</v>
      </c>
      <c r="I261" s="5" t="s">
        <v>288</v>
      </c>
    </row>
    <row r="262" spans="1:9" ht="43.2" x14ac:dyDescent="0.3">
      <c r="A262" s="5" t="s">
        <v>121</v>
      </c>
      <c r="B262" s="5" t="s">
        <v>135</v>
      </c>
      <c r="C262" s="5" t="s">
        <v>133</v>
      </c>
      <c r="D262" s="9" t="s">
        <v>132</v>
      </c>
      <c r="E262" s="5" t="s">
        <v>137</v>
      </c>
      <c r="F262" s="5" t="s">
        <v>4</v>
      </c>
      <c r="G262" s="5" t="s">
        <v>208</v>
      </c>
      <c r="H262" s="5" t="s">
        <v>140</v>
      </c>
      <c r="I262" s="5" t="s">
        <v>11</v>
      </c>
    </row>
    <row r="263" spans="1:9" ht="43.2" x14ac:dyDescent="0.3">
      <c r="A263" s="5" t="s">
        <v>121</v>
      </c>
      <c r="B263" s="5" t="s">
        <v>135</v>
      </c>
      <c r="C263" s="5" t="s">
        <v>133</v>
      </c>
      <c r="D263" s="9" t="s">
        <v>132</v>
      </c>
      <c r="E263" s="5" t="s">
        <v>137</v>
      </c>
      <c r="F263" s="5" t="s">
        <v>4</v>
      </c>
      <c r="G263" s="5" t="s">
        <v>267</v>
      </c>
      <c r="H263" s="5" t="s">
        <v>141</v>
      </c>
      <c r="I263" s="5" t="s">
        <v>7</v>
      </c>
    </row>
    <row r="264" spans="1:9" ht="43.2" x14ac:dyDescent="0.3">
      <c r="A264" s="5" t="s">
        <v>121</v>
      </c>
      <c r="B264" s="5" t="s">
        <v>135</v>
      </c>
      <c r="C264" s="5" t="s">
        <v>133</v>
      </c>
      <c r="D264" s="9" t="s">
        <v>132</v>
      </c>
      <c r="E264" s="5" t="s">
        <v>137</v>
      </c>
      <c r="F264" s="5" t="s">
        <v>4</v>
      </c>
      <c r="G264" s="5" t="s">
        <v>267</v>
      </c>
      <c r="H264" s="5" t="s">
        <v>141</v>
      </c>
      <c r="I264" s="5" t="s">
        <v>152</v>
      </c>
    </row>
    <row r="265" spans="1:9" ht="43.2" x14ac:dyDescent="0.3">
      <c r="A265" s="5" t="s">
        <v>121</v>
      </c>
      <c r="B265" s="5" t="s">
        <v>135</v>
      </c>
      <c r="C265" s="5" t="s">
        <v>133</v>
      </c>
      <c r="D265" s="9" t="s">
        <v>132</v>
      </c>
      <c r="E265" s="5" t="s">
        <v>137</v>
      </c>
      <c r="F265" s="5" t="s">
        <v>4</v>
      </c>
      <c r="G265" s="5" t="s">
        <v>267</v>
      </c>
      <c r="H265" s="5" t="s">
        <v>139</v>
      </c>
      <c r="I265" s="5" t="s">
        <v>7</v>
      </c>
    </row>
    <row r="266" spans="1:9" ht="43.2" x14ac:dyDescent="0.3">
      <c r="A266" s="5" t="s">
        <v>121</v>
      </c>
      <c r="B266" s="5" t="s">
        <v>135</v>
      </c>
      <c r="C266" s="5" t="s">
        <v>133</v>
      </c>
      <c r="D266" s="9" t="s">
        <v>132</v>
      </c>
      <c r="E266" s="5" t="s">
        <v>137</v>
      </c>
      <c r="F266" s="5" t="s">
        <v>4</v>
      </c>
      <c r="G266" s="5" t="s">
        <v>267</v>
      </c>
      <c r="H266" s="5" t="s">
        <v>139</v>
      </c>
      <c r="I266" s="5" t="s">
        <v>153</v>
      </c>
    </row>
    <row r="267" spans="1:9" ht="43.2" x14ac:dyDescent="0.3">
      <c r="A267" s="5" t="s">
        <v>121</v>
      </c>
      <c r="B267" s="5" t="s">
        <v>135</v>
      </c>
      <c r="C267" s="5" t="s">
        <v>133</v>
      </c>
      <c r="D267" s="9" t="s">
        <v>132</v>
      </c>
      <c r="E267" s="5" t="s">
        <v>137</v>
      </c>
      <c r="F267" s="5" t="s">
        <v>4</v>
      </c>
      <c r="G267" s="5" t="s">
        <v>267</v>
      </c>
      <c r="H267" s="5" t="s">
        <v>139</v>
      </c>
      <c r="I267" s="5" t="s">
        <v>155</v>
      </c>
    </row>
    <row r="268" spans="1:9" ht="43.2" x14ac:dyDescent="0.3">
      <c r="A268" s="5" t="s">
        <v>121</v>
      </c>
      <c r="B268" s="5" t="s">
        <v>136</v>
      </c>
      <c r="C268" s="5" t="s">
        <v>133</v>
      </c>
      <c r="D268" s="9" t="s">
        <v>132</v>
      </c>
      <c r="E268" s="5" t="s">
        <v>137</v>
      </c>
      <c r="F268" s="5" t="s">
        <v>4</v>
      </c>
      <c r="G268" s="5" t="s">
        <v>267</v>
      </c>
      <c r="H268" s="5" t="s">
        <v>5</v>
      </c>
      <c r="I268" s="5" t="s">
        <v>154</v>
      </c>
    </row>
    <row r="269" spans="1:9" ht="43.2" x14ac:dyDescent="0.3">
      <c r="A269" s="5" t="s">
        <v>121</v>
      </c>
      <c r="B269" s="5" t="s">
        <v>136</v>
      </c>
      <c r="C269" s="5" t="s">
        <v>133</v>
      </c>
      <c r="D269" s="9" t="s">
        <v>132</v>
      </c>
      <c r="E269" s="5" t="s">
        <v>137</v>
      </c>
      <c r="F269" s="5" t="s">
        <v>4</v>
      </c>
      <c r="G269" s="5" t="s">
        <v>267</v>
      </c>
      <c r="H269" s="5" t="s">
        <v>5</v>
      </c>
      <c r="I269" s="5" t="s">
        <v>6</v>
      </c>
    </row>
    <row r="270" spans="1:9" ht="43.2" x14ac:dyDescent="0.3">
      <c r="A270" s="5" t="s">
        <v>121</v>
      </c>
      <c r="B270" s="5" t="s">
        <v>136</v>
      </c>
      <c r="C270" s="5" t="s">
        <v>133</v>
      </c>
      <c r="D270" s="9" t="s">
        <v>132</v>
      </c>
      <c r="E270" s="5" t="s">
        <v>137</v>
      </c>
      <c r="F270" s="5" t="s">
        <v>4</v>
      </c>
      <c r="G270" s="5" t="s">
        <v>267</v>
      </c>
      <c r="H270" s="5" t="s">
        <v>146</v>
      </c>
      <c r="I270" s="5" t="s">
        <v>6</v>
      </c>
    </row>
    <row r="271" spans="1:9" ht="43.2" x14ac:dyDescent="0.3">
      <c r="A271" s="5" t="s">
        <v>121</v>
      </c>
      <c r="B271" s="5" t="s">
        <v>59</v>
      </c>
      <c r="C271" s="5" t="s">
        <v>133</v>
      </c>
      <c r="D271" s="9" t="s">
        <v>132</v>
      </c>
      <c r="E271" s="5" t="s">
        <v>137</v>
      </c>
      <c r="F271" s="5" t="s">
        <v>4</v>
      </c>
      <c r="G271" s="5" t="s">
        <v>263</v>
      </c>
      <c r="H271" s="5" t="s">
        <v>3</v>
      </c>
      <c r="I271" s="5" t="s">
        <v>160</v>
      </c>
    </row>
    <row r="272" spans="1:9" ht="43.2" x14ac:dyDescent="0.3">
      <c r="A272" s="5" t="s">
        <v>121</v>
      </c>
      <c r="B272" s="5" t="s">
        <v>59</v>
      </c>
      <c r="C272" s="5" t="s">
        <v>133</v>
      </c>
      <c r="D272" s="9" t="s">
        <v>132</v>
      </c>
      <c r="E272" s="5" t="s">
        <v>137</v>
      </c>
      <c r="F272" s="5" t="s">
        <v>4</v>
      </c>
      <c r="G272" s="5" t="s">
        <v>263</v>
      </c>
      <c r="H272" s="5" t="s">
        <v>3</v>
      </c>
      <c r="I272" s="5" t="s">
        <v>162</v>
      </c>
    </row>
    <row r="273" spans="1:9" ht="43.2" x14ac:dyDescent="0.3">
      <c r="A273" s="5" t="s">
        <v>121</v>
      </c>
      <c r="B273" s="5" t="s">
        <v>59</v>
      </c>
      <c r="C273" s="5" t="s">
        <v>133</v>
      </c>
      <c r="D273" s="9" t="s">
        <v>132</v>
      </c>
      <c r="E273" s="5" t="s">
        <v>137</v>
      </c>
      <c r="F273" s="5" t="s">
        <v>4</v>
      </c>
      <c r="G273" s="5" t="s">
        <v>263</v>
      </c>
      <c r="H273" s="5" t="s">
        <v>3</v>
      </c>
      <c r="I273" s="5" t="s">
        <v>161</v>
      </c>
    </row>
    <row r="274" spans="1:9" ht="43.2" x14ac:dyDescent="0.3">
      <c r="A274" s="5" t="s">
        <v>122</v>
      </c>
      <c r="B274" s="5" t="s">
        <v>59</v>
      </c>
      <c r="C274" s="5" t="s">
        <v>133</v>
      </c>
      <c r="D274" s="9" t="s">
        <v>132</v>
      </c>
      <c r="E274" s="5" t="s">
        <v>137</v>
      </c>
      <c r="F274" s="5" t="s">
        <v>4</v>
      </c>
      <c r="G274" s="5" t="s">
        <v>263</v>
      </c>
      <c r="H274" s="5" t="s">
        <v>3</v>
      </c>
      <c r="I274" s="5" t="s">
        <v>163</v>
      </c>
    </row>
    <row r="275" spans="1:9" ht="43.2" x14ac:dyDescent="0.3">
      <c r="A275" s="5" t="s">
        <v>121</v>
      </c>
      <c r="B275" s="5" t="s">
        <v>59</v>
      </c>
      <c r="C275" s="5" t="s">
        <v>133</v>
      </c>
      <c r="D275" s="9" t="s">
        <v>132</v>
      </c>
      <c r="E275" s="5" t="s">
        <v>137</v>
      </c>
      <c r="F275" s="5" t="s">
        <v>4</v>
      </c>
      <c r="G275" s="5" t="s">
        <v>263</v>
      </c>
      <c r="H275" s="5" t="s">
        <v>3</v>
      </c>
      <c r="I275" s="5" t="s">
        <v>158</v>
      </c>
    </row>
    <row r="276" spans="1:9" ht="43.2" x14ac:dyDescent="0.3">
      <c r="A276" s="5" t="s">
        <v>121</v>
      </c>
      <c r="B276" s="5" t="s">
        <v>59</v>
      </c>
      <c r="C276" s="5" t="s">
        <v>133</v>
      </c>
      <c r="D276" s="9" t="s">
        <v>132</v>
      </c>
      <c r="E276" s="5" t="s">
        <v>137</v>
      </c>
      <c r="F276" s="5" t="s">
        <v>4</v>
      </c>
      <c r="G276" s="5" t="s">
        <v>263</v>
      </c>
      <c r="H276" s="5" t="s">
        <v>3</v>
      </c>
      <c r="I276" s="5" t="s">
        <v>290</v>
      </c>
    </row>
    <row r="277" spans="1:9" ht="43.2" x14ac:dyDescent="0.3">
      <c r="A277" s="5" t="s">
        <v>121</v>
      </c>
      <c r="B277" s="5" t="s">
        <v>59</v>
      </c>
      <c r="C277" s="5" t="s">
        <v>133</v>
      </c>
      <c r="D277" s="9" t="s">
        <v>132</v>
      </c>
      <c r="E277" s="5" t="s">
        <v>137</v>
      </c>
      <c r="F277" s="5" t="s">
        <v>4</v>
      </c>
      <c r="G277" s="5" t="s">
        <v>263</v>
      </c>
      <c r="H277" s="5" t="s">
        <v>3</v>
      </c>
      <c r="I277" s="5" t="s">
        <v>293</v>
      </c>
    </row>
    <row r="278" spans="1:9" ht="43.2" x14ac:dyDescent="0.3">
      <c r="A278" s="5" t="s">
        <v>121</v>
      </c>
      <c r="B278" s="5" t="s">
        <v>59</v>
      </c>
      <c r="C278" s="5" t="s">
        <v>133</v>
      </c>
      <c r="D278" s="9" t="s">
        <v>132</v>
      </c>
      <c r="E278" s="5" t="s">
        <v>137</v>
      </c>
      <c r="F278" s="5" t="s">
        <v>4</v>
      </c>
      <c r="G278" s="5" t="s">
        <v>263</v>
      </c>
      <c r="H278" s="5" t="s">
        <v>3</v>
      </c>
      <c r="I278" s="5" t="s">
        <v>294</v>
      </c>
    </row>
    <row r="279" spans="1:9" ht="43.2" x14ac:dyDescent="0.3">
      <c r="A279" s="5" t="s">
        <v>121</v>
      </c>
      <c r="B279" s="5" t="s">
        <v>59</v>
      </c>
      <c r="C279" s="5" t="s">
        <v>133</v>
      </c>
      <c r="D279" s="9" t="s">
        <v>132</v>
      </c>
      <c r="E279" s="5" t="s">
        <v>137</v>
      </c>
      <c r="F279" s="5" t="s">
        <v>4</v>
      </c>
      <c r="G279" s="5" t="s">
        <v>263</v>
      </c>
      <c r="H279" s="5" t="s">
        <v>3</v>
      </c>
      <c r="I279" s="5" t="s">
        <v>295</v>
      </c>
    </row>
    <row r="280" spans="1:9" ht="43.2" x14ac:dyDescent="0.3">
      <c r="A280" s="5" t="s">
        <v>122</v>
      </c>
      <c r="B280" s="5" t="s">
        <v>59</v>
      </c>
      <c r="C280" s="5" t="s">
        <v>133</v>
      </c>
      <c r="D280" s="9" t="s">
        <v>132</v>
      </c>
      <c r="E280" s="5" t="s">
        <v>137</v>
      </c>
      <c r="F280" s="5" t="s">
        <v>8</v>
      </c>
      <c r="G280" s="5" t="s">
        <v>204</v>
      </c>
      <c r="H280" s="5" t="s">
        <v>138</v>
      </c>
      <c r="I280" s="5" t="s">
        <v>11</v>
      </c>
    </row>
    <row r="281" spans="1:9" ht="43.2" x14ac:dyDescent="0.3">
      <c r="A281" s="5" t="s">
        <v>122</v>
      </c>
      <c r="B281" s="5" t="s">
        <v>59</v>
      </c>
      <c r="C281" s="5" t="s">
        <v>133</v>
      </c>
      <c r="D281" s="9" t="s">
        <v>132</v>
      </c>
      <c r="E281" s="5" t="s">
        <v>137</v>
      </c>
      <c r="F281" s="5" t="s">
        <v>8</v>
      </c>
      <c r="G281" s="5" t="s">
        <v>204</v>
      </c>
      <c r="H281" s="5" t="s">
        <v>138</v>
      </c>
      <c r="I281" s="5" t="s">
        <v>147</v>
      </c>
    </row>
    <row r="282" spans="1:9" ht="43.2" x14ac:dyDescent="0.3">
      <c r="A282" s="5" t="s">
        <v>121</v>
      </c>
      <c r="B282" s="5" t="s">
        <v>135</v>
      </c>
      <c r="C282" s="5" t="s">
        <v>133</v>
      </c>
      <c r="D282" s="9" t="s">
        <v>132</v>
      </c>
      <c r="E282" s="5" t="s">
        <v>137</v>
      </c>
      <c r="F282" s="5" t="s">
        <v>8</v>
      </c>
      <c r="G282" s="5" t="s">
        <v>204</v>
      </c>
      <c r="H282" s="5" t="s">
        <v>141</v>
      </c>
      <c r="I282" s="5" t="s">
        <v>152</v>
      </c>
    </row>
    <row r="283" spans="1:9" ht="43.2" x14ac:dyDescent="0.3">
      <c r="A283" s="5" t="s">
        <v>121</v>
      </c>
      <c r="B283" s="5" t="s">
        <v>135</v>
      </c>
      <c r="C283" s="5" t="s">
        <v>133</v>
      </c>
      <c r="D283" s="9" t="s">
        <v>132</v>
      </c>
      <c r="E283" s="5" t="s">
        <v>137</v>
      </c>
      <c r="F283" s="5" t="s">
        <v>8</v>
      </c>
      <c r="G283" s="5" t="s">
        <v>204</v>
      </c>
      <c r="H283" s="5" t="s">
        <v>141</v>
      </c>
      <c r="I283" s="5" t="s">
        <v>11</v>
      </c>
    </row>
    <row r="284" spans="1:9" ht="43.2" x14ac:dyDescent="0.3">
      <c r="A284" s="5" t="s">
        <v>121</v>
      </c>
      <c r="B284" s="5" t="s">
        <v>135</v>
      </c>
      <c r="C284" s="5" t="s">
        <v>133</v>
      </c>
      <c r="D284" s="9" t="s">
        <v>132</v>
      </c>
      <c r="E284" s="5" t="s">
        <v>137</v>
      </c>
      <c r="F284" s="5" t="s">
        <v>8</v>
      </c>
      <c r="G284" s="5" t="s">
        <v>204</v>
      </c>
      <c r="H284" s="5" t="s">
        <v>141</v>
      </c>
      <c r="I284" s="5" t="s">
        <v>157</v>
      </c>
    </row>
    <row r="285" spans="1:9" ht="43.2" x14ac:dyDescent="0.3">
      <c r="A285" s="5" t="s">
        <v>121</v>
      </c>
      <c r="B285" s="5" t="s">
        <v>135</v>
      </c>
      <c r="C285" s="5" t="s">
        <v>133</v>
      </c>
      <c r="D285" s="9" t="s">
        <v>132</v>
      </c>
      <c r="E285" s="5" t="s">
        <v>137</v>
      </c>
      <c r="F285" s="5" t="s">
        <v>8</v>
      </c>
      <c r="G285" s="5" t="s">
        <v>204</v>
      </c>
      <c r="H285" s="5" t="s">
        <v>141</v>
      </c>
      <c r="I285" s="5" t="s">
        <v>147</v>
      </c>
    </row>
    <row r="286" spans="1:9" ht="43.2" x14ac:dyDescent="0.3">
      <c r="A286" s="5" t="s">
        <v>121</v>
      </c>
      <c r="B286" s="5" t="s">
        <v>135</v>
      </c>
      <c r="C286" s="5" t="s">
        <v>133</v>
      </c>
      <c r="D286" s="9" t="s">
        <v>132</v>
      </c>
      <c r="E286" s="5" t="s">
        <v>137</v>
      </c>
      <c r="F286" s="5" t="s">
        <v>8</v>
      </c>
      <c r="G286" s="5" t="s">
        <v>204</v>
      </c>
      <c r="H286" s="5" t="s">
        <v>139</v>
      </c>
      <c r="I286" s="5" t="s">
        <v>153</v>
      </c>
    </row>
    <row r="287" spans="1:9" ht="43.2" x14ac:dyDescent="0.3">
      <c r="A287" s="5" t="s">
        <v>121</v>
      </c>
      <c r="B287" s="5" t="s">
        <v>135</v>
      </c>
      <c r="C287" s="5" t="s">
        <v>133</v>
      </c>
      <c r="D287" s="9" t="s">
        <v>132</v>
      </c>
      <c r="E287" s="5" t="s">
        <v>137</v>
      </c>
      <c r="F287" s="5" t="s">
        <v>8</v>
      </c>
      <c r="G287" s="5" t="s">
        <v>204</v>
      </c>
      <c r="H287" s="5" t="s">
        <v>139</v>
      </c>
      <c r="I287" s="5" t="s">
        <v>155</v>
      </c>
    </row>
    <row r="288" spans="1:9" ht="43.2" x14ac:dyDescent="0.3">
      <c r="A288" s="5" t="s">
        <v>121</v>
      </c>
      <c r="B288" s="5" t="s">
        <v>135</v>
      </c>
      <c r="C288" s="5" t="s">
        <v>133</v>
      </c>
      <c r="D288" s="9" t="s">
        <v>132</v>
      </c>
      <c r="E288" s="5" t="s">
        <v>137</v>
      </c>
      <c r="F288" s="5" t="s">
        <v>8</v>
      </c>
      <c r="G288" s="5" t="s">
        <v>204</v>
      </c>
      <c r="H288" s="5" t="s">
        <v>139</v>
      </c>
      <c r="I288" s="5" t="s">
        <v>157</v>
      </c>
    </row>
    <row r="289" spans="1:9" ht="43.2" x14ac:dyDescent="0.3">
      <c r="A289" s="5" t="s">
        <v>121</v>
      </c>
      <c r="B289" s="5" t="s">
        <v>135</v>
      </c>
      <c r="C289" s="5" t="s">
        <v>133</v>
      </c>
      <c r="D289" s="9" t="s">
        <v>132</v>
      </c>
      <c r="E289" s="5" t="s">
        <v>137</v>
      </c>
      <c r="F289" s="5" t="s">
        <v>8</v>
      </c>
      <c r="G289" s="5" t="s">
        <v>204</v>
      </c>
      <c r="H289" s="5" t="s">
        <v>139</v>
      </c>
      <c r="I289" s="5" t="s">
        <v>147</v>
      </c>
    </row>
    <row r="290" spans="1:9" ht="43.2" x14ac:dyDescent="0.3">
      <c r="A290" s="5" t="s">
        <v>121</v>
      </c>
      <c r="B290" s="5" t="s">
        <v>59</v>
      </c>
      <c r="C290" s="5" t="s">
        <v>133</v>
      </c>
      <c r="D290" s="9" t="s">
        <v>132</v>
      </c>
      <c r="E290" s="5" t="s">
        <v>137</v>
      </c>
      <c r="F290" s="5" t="s">
        <v>8</v>
      </c>
      <c r="G290" s="5" t="s">
        <v>204</v>
      </c>
      <c r="H290" s="5" t="s">
        <v>5</v>
      </c>
      <c r="I290" s="5" t="s">
        <v>11</v>
      </c>
    </row>
    <row r="291" spans="1:9" ht="43.2" x14ac:dyDescent="0.3">
      <c r="A291" s="5" t="s">
        <v>121</v>
      </c>
      <c r="B291" s="5" t="s">
        <v>59</v>
      </c>
      <c r="C291" s="5" t="s">
        <v>133</v>
      </c>
      <c r="D291" s="9" t="s">
        <v>132</v>
      </c>
      <c r="E291" s="5" t="s">
        <v>137</v>
      </c>
      <c r="F291" s="5" t="s">
        <v>8</v>
      </c>
      <c r="G291" s="5" t="s">
        <v>204</v>
      </c>
      <c r="H291" s="5" t="s">
        <v>5</v>
      </c>
      <c r="I291" s="5" t="s">
        <v>154</v>
      </c>
    </row>
    <row r="292" spans="1:9" ht="43.2" x14ac:dyDescent="0.3">
      <c r="A292" s="5" t="s">
        <v>121</v>
      </c>
      <c r="B292" s="5" t="s">
        <v>59</v>
      </c>
      <c r="C292" s="5" t="s">
        <v>133</v>
      </c>
      <c r="D292" s="9" t="s">
        <v>132</v>
      </c>
      <c r="E292" s="5" t="s">
        <v>137</v>
      </c>
      <c r="F292" s="5" t="s">
        <v>8</v>
      </c>
      <c r="G292" s="5" t="s">
        <v>204</v>
      </c>
      <c r="H292" s="5" t="s">
        <v>5</v>
      </c>
      <c r="I292" s="5" t="s">
        <v>157</v>
      </c>
    </row>
    <row r="293" spans="1:9" ht="43.2" x14ac:dyDescent="0.3">
      <c r="A293" s="5" t="s">
        <v>121</v>
      </c>
      <c r="B293" s="5" t="s">
        <v>59</v>
      </c>
      <c r="C293" s="5" t="s">
        <v>133</v>
      </c>
      <c r="D293" s="9" t="s">
        <v>132</v>
      </c>
      <c r="E293" s="5" t="s">
        <v>137</v>
      </c>
      <c r="F293" s="5" t="s">
        <v>8</v>
      </c>
      <c r="G293" s="5" t="s">
        <v>204</v>
      </c>
      <c r="H293" s="5" t="s">
        <v>5</v>
      </c>
      <c r="I293" s="5" t="s">
        <v>147</v>
      </c>
    </row>
    <row r="294" spans="1:9" ht="43.2" x14ac:dyDescent="0.3">
      <c r="A294" s="5" t="s">
        <v>121</v>
      </c>
      <c r="B294" s="5" t="s">
        <v>135</v>
      </c>
      <c r="C294" s="5" t="s">
        <v>133</v>
      </c>
      <c r="D294" s="9" t="s">
        <v>132</v>
      </c>
      <c r="E294" s="5" t="s">
        <v>137</v>
      </c>
      <c r="F294" s="5" t="s">
        <v>8</v>
      </c>
      <c r="G294" s="5" t="s">
        <v>204</v>
      </c>
      <c r="H294" s="5" t="s">
        <v>145</v>
      </c>
      <c r="I294" s="5" t="s">
        <v>11</v>
      </c>
    </row>
    <row r="295" spans="1:9" ht="43.2" x14ac:dyDescent="0.3">
      <c r="A295" s="5" t="s">
        <v>121</v>
      </c>
      <c r="B295" s="5" t="s">
        <v>135</v>
      </c>
      <c r="C295" s="5" t="s">
        <v>133</v>
      </c>
      <c r="D295" s="9" t="s">
        <v>132</v>
      </c>
      <c r="E295" s="5" t="s">
        <v>137</v>
      </c>
      <c r="F295" s="5" t="s">
        <v>8</v>
      </c>
      <c r="G295" s="5" t="s">
        <v>204</v>
      </c>
      <c r="H295" s="5" t="s">
        <v>145</v>
      </c>
      <c r="I295" s="5" t="s">
        <v>207</v>
      </c>
    </row>
    <row r="296" spans="1:9" ht="43.2" x14ac:dyDescent="0.3">
      <c r="A296" s="5" t="s">
        <v>121</v>
      </c>
      <c r="B296" s="5" t="s">
        <v>135</v>
      </c>
      <c r="C296" s="5" t="s">
        <v>133</v>
      </c>
      <c r="D296" s="9" t="s">
        <v>132</v>
      </c>
      <c r="E296" s="5" t="s">
        <v>137</v>
      </c>
      <c r="F296" s="5" t="s">
        <v>8</v>
      </c>
      <c r="G296" s="5" t="s">
        <v>204</v>
      </c>
      <c r="H296" s="5" t="s">
        <v>145</v>
      </c>
      <c r="I296" s="5" t="s">
        <v>147</v>
      </c>
    </row>
    <row r="297" spans="1:9" ht="43.2" x14ac:dyDescent="0.3">
      <c r="A297" s="5" t="s">
        <v>121</v>
      </c>
      <c r="B297" s="5" t="s">
        <v>135</v>
      </c>
      <c r="C297" s="5" t="s">
        <v>133</v>
      </c>
      <c r="D297" s="9" t="s">
        <v>132</v>
      </c>
      <c r="E297" s="5" t="s">
        <v>137</v>
      </c>
      <c r="F297" s="5" t="s">
        <v>8</v>
      </c>
      <c r="G297" s="5" t="s">
        <v>204</v>
      </c>
      <c r="H297" s="5" t="s">
        <v>145</v>
      </c>
      <c r="I297" s="5" t="s">
        <v>154</v>
      </c>
    </row>
    <row r="298" spans="1:9" ht="43.2" x14ac:dyDescent="0.3">
      <c r="A298" s="5" t="s">
        <v>121</v>
      </c>
      <c r="B298" s="5" t="s">
        <v>127</v>
      </c>
      <c r="C298" s="5" t="s">
        <v>133</v>
      </c>
      <c r="D298" s="9" t="s">
        <v>132</v>
      </c>
      <c r="E298" s="5" t="s">
        <v>137</v>
      </c>
      <c r="F298" s="5" t="s">
        <v>8</v>
      </c>
      <c r="G298" s="5" t="s">
        <v>204</v>
      </c>
      <c r="H298" s="5" t="s">
        <v>146</v>
      </c>
      <c r="I298" s="5" t="s">
        <v>6</v>
      </c>
    </row>
    <row r="299" spans="1:9" ht="43.2" x14ac:dyDescent="0.3">
      <c r="A299" s="5" t="s">
        <v>121</v>
      </c>
      <c r="B299" s="5" t="s">
        <v>127</v>
      </c>
      <c r="C299" s="5" t="s">
        <v>133</v>
      </c>
      <c r="D299" s="9" t="s">
        <v>132</v>
      </c>
      <c r="E299" s="5" t="s">
        <v>137</v>
      </c>
      <c r="F299" s="5" t="s">
        <v>8</v>
      </c>
      <c r="G299" s="5" t="s">
        <v>204</v>
      </c>
      <c r="H299" s="5" t="s">
        <v>146</v>
      </c>
      <c r="I299" s="5" t="s">
        <v>157</v>
      </c>
    </row>
    <row r="300" spans="1:9" ht="43.2" x14ac:dyDescent="0.3">
      <c r="A300" s="5" t="s">
        <v>121</v>
      </c>
      <c r="B300" s="5" t="s">
        <v>127</v>
      </c>
      <c r="C300" s="5" t="s">
        <v>133</v>
      </c>
      <c r="D300" s="9" t="s">
        <v>132</v>
      </c>
      <c r="E300" s="5" t="s">
        <v>137</v>
      </c>
      <c r="F300" s="5" t="s">
        <v>8</v>
      </c>
      <c r="G300" s="5" t="s">
        <v>204</v>
      </c>
      <c r="H300" s="5" t="s">
        <v>146</v>
      </c>
      <c r="I300" s="5" t="s">
        <v>159</v>
      </c>
    </row>
    <row r="301" spans="1:9" ht="43.2" x14ac:dyDescent="0.3">
      <c r="A301" s="5" t="s">
        <v>121</v>
      </c>
      <c r="B301" s="5" t="s">
        <v>135</v>
      </c>
      <c r="C301" s="5" t="s">
        <v>133</v>
      </c>
      <c r="D301" s="9" t="s">
        <v>132</v>
      </c>
      <c r="E301" s="5" t="s">
        <v>137</v>
      </c>
      <c r="F301" s="5" t="s">
        <v>8</v>
      </c>
      <c r="G301" s="5" t="s">
        <v>204</v>
      </c>
      <c r="H301" s="5" t="s">
        <v>140</v>
      </c>
      <c r="I301" s="5" t="s">
        <v>11</v>
      </c>
    </row>
    <row r="302" spans="1:9" ht="43.2" x14ac:dyDescent="0.3">
      <c r="A302" s="5" t="s">
        <v>121</v>
      </c>
      <c r="B302" s="5" t="s">
        <v>135</v>
      </c>
      <c r="C302" s="5" t="s">
        <v>133</v>
      </c>
      <c r="D302" s="9" t="s">
        <v>132</v>
      </c>
      <c r="E302" s="5" t="s">
        <v>137</v>
      </c>
      <c r="F302" s="5" t="s">
        <v>8</v>
      </c>
      <c r="G302" s="5" t="s">
        <v>204</v>
      </c>
      <c r="H302" s="5" t="s">
        <v>143</v>
      </c>
      <c r="I302" s="5" t="s">
        <v>11</v>
      </c>
    </row>
    <row r="303" spans="1:9" ht="43.2" x14ac:dyDescent="0.3">
      <c r="A303" s="5" t="s">
        <v>121</v>
      </c>
      <c r="B303" s="5" t="s">
        <v>134</v>
      </c>
      <c r="C303" s="5" t="s">
        <v>133</v>
      </c>
      <c r="D303" s="9" t="s">
        <v>132</v>
      </c>
      <c r="E303" s="5" t="s">
        <v>137</v>
      </c>
      <c r="F303" s="5" t="s">
        <v>8</v>
      </c>
      <c r="G303" s="5" t="s">
        <v>204</v>
      </c>
      <c r="H303" s="5" t="s">
        <v>138</v>
      </c>
      <c r="I303" s="5" t="s">
        <v>288</v>
      </c>
    </row>
    <row r="304" spans="1:9" ht="43.2" x14ac:dyDescent="0.3">
      <c r="A304" s="5" t="s">
        <v>121</v>
      </c>
      <c r="B304" s="5" t="s">
        <v>134</v>
      </c>
      <c r="C304" s="5" t="s">
        <v>133</v>
      </c>
      <c r="D304" s="9" t="s">
        <v>132</v>
      </c>
      <c r="E304" s="5" t="s">
        <v>137</v>
      </c>
      <c r="F304" s="5" t="s">
        <v>8</v>
      </c>
      <c r="G304" s="5" t="s">
        <v>204</v>
      </c>
      <c r="H304" s="5" t="s">
        <v>141</v>
      </c>
      <c r="I304" s="5" t="s">
        <v>288</v>
      </c>
    </row>
    <row r="305" spans="1:9" ht="43.2" x14ac:dyDescent="0.3">
      <c r="A305" s="5" t="s">
        <v>121</v>
      </c>
      <c r="B305" s="5" t="s">
        <v>134</v>
      </c>
      <c r="C305" s="5" t="s">
        <v>133</v>
      </c>
      <c r="D305" s="9" t="s">
        <v>132</v>
      </c>
      <c r="E305" s="5" t="s">
        <v>137</v>
      </c>
      <c r="F305" s="5" t="s">
        <v>8</v>
      </c>
      <c r="G305" s="5" t="s">
        <v>204</v>
      </c>
      <c r="H305" s="5" t="s">
        <v>139</v>
      </c>
      <c r="I305" s="5" t="s">
        <v>288</v>
      </c>
    </row>
    <row r="306" spans="1:9" ht="43.2" x14ac:dyDescent="0.3">
      <c r="A306" s="5" t="s">
        <v>121</v>
      </c>
      <c r="B306" s="5" t="s">
        <v>134</v>
      </c>
      <c r="C306" s="5" t="s">
        <v>133</v>
      </c>
      <c r="D306" s="9" t="s">
        <v>132</v>
      </c>
      <c r="E306" s="5" t="s">
        <v>137</v>
      </c>
      <c r="F306" s="5" t="s">
        <v>8</v>
      </c>
      <c r="G306" s="5" t="s">
        <v>204</v>
      </c>
      <c r="H306" s="5" t="s">
        <v>5</v>
      </c>
      <c r="I306" s="5" t="s">
        <v>288</v>
      </c>
    </row>
    <row r="307" spans="1:9" ht="43.2" x14ac:dyDescent="0.3">
      <c r="A307" s="5" t="s">
        <v>121</v>
      </c>
      <c r="B307" s="5" t="s">
        <v>134</v>
      </c>
      <c r="C307" s="5" t="s">
        <v>133</v>
      </c>
      <c r="D307" s="9" t="s">
        <v>132</v>
      </c>
      <c r="E307" s="5" t="s">
        <v>137</v>
      </c>
      <c r="F307" s="5" t="s">
        <v>8</v>
      </c>
      <c r="G307" s="5" t="s">
        <v>204</v>
      </c>
      <c r="H307" s="5" t="s">
        <v>140</v>
      </c>
      <c r="I307" s="5" t="s">
        <v>288</v>
      </c>
    </row>
    <row r="308" spans="1:9" ht="43.2" x14ac:dyDescent="0.3">
      <c r="A308" s="5" t="s">
        <v>121</v>
      </c>
      <c r="B308" s="5" t="s">
        <v>134</v>
      </c>
      <c r="C308" s="5" t="s">
        <v>133</v>
      </c>
      <c r="D308" s="9" t="s">
        <v>132</v>
      </c>
      <c r="E308" s="5" t="s">
        <v>137</v>
      </c>
      <c r="F308" s="5" t="s">
        <v>8</v>
      </c>
      <c r="G308" s="5" t="s">
        <v>204</v>
      </c>
      <c r="H308" s="5" t="s">
        <v>144</v>
      </c>
      <c r="I308" s="5" t="s">
        <v>288</v>
      </c>
    </row>
    <row r="309" spans="1:9" ht="43.2" x14ac:dyDescent="0.3">
      <c r="A309" s="5" t="s">
        <v>121</v>
      </c>
      <c r="B309" s="5" t="s">
        <v>135</v>
      </c>
      <c r="C309" s="5" t="s">
        <v>133</v>
      </c>
      <c r="D309" s="9" t="s">
        <v>132</v>
      </c>
      <c r="E309" s="5" t="s">
        <v>137</v>
      </c>
      <c r="F309" s="5" t="s">
        <v>8</v>
      </c>
      <c r="G309" s="5" t="s">
        <v>268</v>
      </c>
      <c r="H309" s="5" t="s">
        <v>141</v>
      </c>
      <c r="I309" s="5" t="s">
        <v>7</v>
      </c>
    </row>
    <row r="310" spans="1:9" ht="43.2" x14ac:dyDescent="0.3">
      <c r="A310" s="5" t="s">
        <v>121</v>
      </c>
      <c r="B310" s="5" t="s">
        <v>135</v>
      </c>
      <c r="C310" s="5" t="s">
        <v>133</v>
      </c>
      <c r="D310" s="9" t="s">
        <v>132</v>
      </c>
      <c r="E310" s="5" t="s">
        <v>137</v>
      </c>
      <c r="F310" s="5" t="s">
        <v>8</v>
      </c>
      <c r="G310" s="5" t="s">
        <v>268</v>
      </c>
      <c r="H310" s="5" t="s">
        <v>141</v>
      </c>
      <c r="I310" s="5" t="s">
        <v>152</v>
      </c>
    </row>
    <row r="311" spans="1:9" ht="43.2" x14ac:dyDescent="0.3">
      <c r="A311" s="5" t="s">
        <v>121</v>
      </c>
      <c r="B311" s="5" t="s">
        <v>135</v>
      </c>
      <c r="C311" s="5" t="s">
        <v>133</v>
      </c>
      <c r="D311" s="9" t="s">
        <v>132</v>
      </c>
      <c r="E311" s="5" t="s">
        <v>137</v>
      </c>
      <c r="F311" s="5" t="s">
        <v>8</v>
      </c>
      <c r="G311" s="5" t="s">
        <v>268</v>
      </c>
      <c r="H311" s="5" t="s">
        <v>139</v>
      </c>
      <c r="I311" s="5" t="s">
        <v>7</v>
      </c>
    </row>
    <row r="312" spans="1:9" ht="43.2" x14ac:dyDescent="0.3">
      <c r="A312" s="5" t="s">
        <v>121</v>
      </c>
      <c r="B312" s="5" t="s">
        <v>135</v>
      </c>
      <c r="C312" s="5" t="s">
        <v>133</v>
      </c>
      <c r="D312" s="9" t="s">
        <v>132</v>
      </c>
      <c r="E312" s="5" t="s">
        <v>137</v>
      </c>
      <c r="F312" s="5" t="s">
        <v>8</v>
      </c>
      <c r="G312" s="5" t="s">
        <v>268</v>
      </c>
      <c r="H312" s="5" t="s">
        <v>139</v>
      </c>
      <c r="I312" s="5" t="s">
        <v>153</v>
      </c>
    </row>
    <row r="313" spans="1:9" ht="43.2" x14ac:dyDescent="0.3">
      <c r="A313" s="5" t="s">
        <v>121</v>
      </c>
      <c r="B313" s="5" t="s">
        <v>135</v>
      </c>
      <c r="C313" s="5" t="s">
        <v>133</v>
      </c>
      <c r="D313" s="9" t="s">
        <v>132</v>
      </c>
      <c r="E313" s="5" t="s">
        <v>137</v>
      </c>
      <c r="F313" s="5" t="s">
        <v>8</v>
      </c>
      <c r="G313" s="5" t="s">
        <v>268</v>
      </c>
      <c r="H313" s="5" t="s">
        <v>139</v>
      </c>
      <c r="I313" s="5" t="s">
        <v>155</v>
      </c>
    </row>
    <row r="314" spans="1:9" ht="43.2" x14ac:dyDescent="0.3">
      <c r="A314" s="5" t="s">
        <v>121</v>
      </c>
      <c r="B314" s="5" t="s">
        <v>136</v>
      </c>
      <c r="C314" s="5" t="s">
        <v>133</v>
      </c>
      <c r="D314" s="9" t="s">
        <v>132</v>
      </c>
      <c r="E314" s="5" t="s">
        <v>137</v>
      </c>
      <c r="F314" s="5" t="s">
        <v>8</v>
      </c>
      <c r="G314" s="5" t="s">
        <v>268</v>
      </c>
      <c r="H314" s="5" t="s">
        <v>5</v>
      </c>
      <c r="I314" s="5" t="s">
        <v>154</v>
      </c>
    </row>
    <row r="315" spans="1:9" ht="43.2" x14ac:dyDescent="0.3">
      <c r="A315" s="5" t="s">
        <v>121</v>
      </c>
      <c r="B315" s="5" t="s">
        <v>136</v>
      </c>
      <c r="C315" s="5" t="s">
        <v>133</v>
      </c>
      <c r="D315" s="9" t="s">
        <v>132</v>
      </c>
      <c r="E315" s="5" t="s">
        <v>137</v>
      </c>
      <c r="F315" s="5" t="s">
        <v>8</v>
      </c>
      <c r="G315" s="5" t="s">
        <v>268</v>
      </c>
      <c r="H315" s="5" t="s">
        <v>5</v>
      </c>
      <c r="I315" s="5" t="s">
        <v>6</v>
      </c>
    </row>
    <row r="316" spans="1:9" ht="43.2" x14ac:dyDescent="0.3">
      <c r="A316" s="5" t="s">
        <v>121</v>
      </c>
      <c r="B316" s="5" t="s">
        <v>136</v>
      </c>
      <c r="C316" s="5" t="s">
        <v>133</v>
      </c>
      <c r="D316" s="9" t="s">
        <v>132</v>
      </c>
      <c r="E316" s="5" t="s">
        <v>137</v>
      </c>
      <c r="F316" s="5" t="s">
        <v>8</v>
      </c>
      <c r="G316" s="5" t="s">
        <v>268</v>
      </c>
      <c r="H316" s="5" t="s">
        <v>146</v>
      </c>
      <c r="I316" s="5" t="s">
        <v>6</v>
      </c>
    </row>
    <row r="317" spans="1:9" ht="43.2" x14ac:dyDescent="0.3">
      <c r="A317" s="5" t="s">
        <v>121</v>
      </c>
      <c r="B317" s="5" t="s">
        <v>136</v>
      </c>
      <c r="C317" s="5" t="s">
        <v>133</v>
      </c>
      <c r="D317" s="9" t="s">
        <v>132</v>
      </c>
      <c r="E317" s="5" t="s">
        <v>137</v>
      </c>
      <c r="F317" s="5" t="s">
        <v>8</v>
      </c>
      <c r="G317" s="5" t="s">
        <v>264</v>
      </c>
      <c r="H317" s="5" t="s">
        <v>3</v>
      </c>
      <c r="I317" s="5" t="s">
        <v>178</v>
      </c>
    </row>
    <row r="318" spans="1:9" ht="43.2" x14ac:dyDescent="0.3">
      <c r="A318" s="5" t="s">
        <v>121</v>
      </c>
      <c r="B318" s="5" t="s">
        <v>59</v>
      </c>
      <c r="C318" s="5" t="s">
        <v>133</v>
      </c>
      <c r="D318" s="9" t="s">
        <v>132</v>
      </c>
      <c r="E318" s="5" t="s">
        <v>137</v>
      </c>
      <c r="F318" s="5" t="s">
        <v>8</v>
      </c>
      <c r="G318" s="5" t="s">
        <v>264</v>
      </c>
      <c r="H318" s="5" t="s">
        <v>3</v>
      </c>
      <c r="I318" s="5" t="s">
        <v>180</v>
      </c>
    </row>
    <row r="319" spans="1:9" ht="43.2" x14ac:dyDescent="0.3">
      <c r="A319" s="5" t="s">
        <v>121</v>
      </c>
      <c r="B319" s="5" t="s">
        <v>136</v>
      </c>
      <c r="C319" s="5" t="s">
        <v>133</v>
      </c>
      <c r="D319" s="9" t="s">
        <v>132</v>
      </c>
      <c r="E319" s="5" t="s">
        <v>137</v>
      </c>
      <c r="F319" s="5" t="s">
        <v>8</v>
      </c>
      <c r="G319" s="5" t="s">
        <v>264</v>
      </c>
      <c r="H319" s="5" t="s">
        <v>3</v>
      </c>
      <c r="I319" s="5" t="s">
        <v>183</v>
      </c>
    </row>
    <row r="320" spans="1:9" ht="43.2" x14ac:dyDescent="0.3">
      <c r="A320" s="5" t="s">
        <v>121</v>
      </c>
      <c r="B320" s="5" t="s">
        <v>136</v>
      </c>
      <c r="C320" s="5" t="s">
        <v>133</v>
      </c>
      <c r="D320" s="9" t="s">
        <v>132</v>
      </c>
      <c r="E320" s="5" t="s">
        <v>137</v>
      </c>
      <c r="F320" s="5" t="s">
        <v>8</v>
      </c>
      <c r="G320" s="5" t="s">
        <v>264</v>
      </c>
      <c r="H320" s="5" t="s">
        <v>3</v>
      </c>
      <c r="I320" s="5" t="s">
        <v>182</v>
      </c>
    </row>
    <row r="321" spans="1:9" ht="43.2" x14ac:dyDescent="0.3">
      <c r="A321" s="5" t="s">
        <v>121</v>
      </c>
      <c r="B321" s="5" t="s">
        <v>59</v>
      </c>
      <c r="C321" s="5" t="s">
        <v>133</v>
      </c>
      <c r="D321" s="9" t="s">
        <v>132</v>
      </c>
      <c r="E321" s="5" t="s">
        <v>137</v>
      </c>
      <c r="F321" s="5" t="s">
        <v>8</v>
      </c>
      <c r="G321" s="5" t="s">
        <v>264</v>
      </c>
      <c r="H321" s="5" t="s">
        <v>3</v>
      </c>
      <c r="I321" s="5" t="s">
        <v>290</v>
      </c>
    </row>
    <row r="322" spans="1:9" ht="43.2" x14ac:dyDescent="0.3">
      <c r="A322" s="5" t="s">
        <v>121</v>
      </c>
      <c r="B322" s="5" t="s">
        <v>59</v>
      </c>
      <c r="C322" s="5" t="s">
        <v>133</v>
      </c>
      <c r="D322" s="9" t="s">
        <v>132</v>
      </c>
      <c r="E322" s="5" t="s">
        <v>137</v>
      </c>
      <c r="F322" s="5" t="s">
        <v>8</v>
      </c>
      <c r="G322" s="5" t="s">
        <v>264</v>
      </c>
      <c r="H322" s="5" t="s">
        <v>3</v>
      </c>
      <c r="I322" s="5" t="s">
        <v>293</v>
      </c>
    </row>
    <row r="323" spans="1:9" ht="43.2" x14ac:dyDescent="0.3">
      <c r="A323" s="5" t="s">
        <v>121</v>
      </c>
      <c r="B323" s="5" t="s">
        <v>59</v>
      </c>
      <c r="C323" s="5" t="s">
        <v>133</v>
      </c>
      <c r="D323" s="9" t="s">
        <v>132</v>
      </c>
      <c r="E323" s="5" t="s">
        <v>137</v>
      </c>
      <c r="F323" s="5" t="s">
        <v>8</v>
      </c>
      <c r="G323" s="5" t="s">
        <v>264</v>
      </c>
      <c r="H323" s="5" t="s">
        <v>3</v>
      </c>
      <c r="I323" s="5" t="s">
        <v>294</v>
      </c>
    </row>
    <row r="324" spans="1:9" ht="43.2" x14ac:dyDescent="0.3">
      <c r="A324" s="5" t="s">
        <v>121</v>
      </c>
      <c r="B324" s="5" t="s">
        <v>59</v>
      </c>
      <c r="C324" s="5" t="s">
        <v>133</v>
      </c>
      <c r="D324" s="9" t="s">
        <v>132</v>
      </c>
      <c r="E324" s="5" t="s">
        <v>137</v>
      </c>
      <c r="F324" s="5" t="s">
        <v>8</v>
      </c>
      <c r="G324" s="5" t="s">
        <v>264</v>
      </c>
      <c r="H324" s="5" t="s">
        <v>3</v>
      </c>
      <c r="I324" s="5" t="s">
        <v>295</v>
      </c>
    </row>
    <row r="325" spans="1:9" ht="43.2" x14ac:dyDescent="0.3">
      <c r="A325" s="5" t="s">
        <v>122</v>
      </c>
      <c r="B325" s="5" t="s">
        <v>134</v>
      </c>
      <c r="C325" s="5" t="s">
        <v>133</v>
      </c>
      <c r="D325" s="9" t="s">
        <v>132</v>
      </c>
      <c r="E325" s="5" t="s">
        <v>137</v>
      </c>
      <c r="F325" s="5" t="s">
        <v>131</v>
      </c>
      <c r="G325" s="5" t="s">
        <v>203</v>
      </c>
      <c r="H325" s="5" t="s">
        <v>138</v>
      </c>
      <c r="I325" s="5" t="s">
        <v>11</v>
      </c>
    </row>
    <row r="326" spans="1:9" ht="43.2" x14ac:dyDescent="0.3">
      <c r="A326" s="5" t="s">
        <v>122</v>
      </c>
      <c r="B326" s="5" t="s">
        <v>134</v>
      </c>
      <c r="C326" s="5" t="s">
        <v>133</v>
      </c>
      <c r="D326" s="9" t="s">
        <v>132</v>
      </c>
      <c r="E326" s="5" t="s">
        <v>137</v>
      </c>
      <c r="F326" s="5" t="s">
        <v>131</v>
      </c>
      <c r="G326" s="5" t="s">
        <v>203</v>
      </c>
      <c r="H326" s="5" t="s">
        <v>138</v>
      </c>
      <c r="I326" s="5" t="s">
        <v>147</v>
      </c>
    </row>
    <row r="327" spans="1:9" ht="43.2" x14ac:dyDescent="0.3">
      <c r="A327" s="5" t="s">
        <v>121</v>
      </c>
      <c r="B327" s="5" t="s">
        <v>135</v>
      </c>
      <c r="C327" s="5" t="s">
        <v>133</v>
      </c>
      <c r="D327" s="9" t="s">
        <v>132</v>
      </c>
      <c r="E327" s="5" t="s">
        <v>137</v>
      </c>
      <c r="F327" s="5" t="s">
        <v>131</v>
      </c>
      <c r="G327" s="5" t="s">
        <v>203</v>
      </c>
      <c r="H327" s="5" t="s">
        <v>141</v>
      </c>
      <c r="I327" s="5" t="s">
        <v>152</v>
      </c>
    </row>
    <row r="328" spans="1:9" ht="43.2" x14ac:dyDescent="0.3">
      <c r="A328" s="5" t="s">
        <v>121</v>
      </c>
      <c r="B328" s="5" t="s">
        <v>135</v>
      </c>
      <c r="C328" s="5" t="s">
        <v>133</v>
      </c>
      <c r="D328" s="9" t="s">
        <v>132</v>
      </c>
      <c r="E328" s="5" t="s">
        <v>137</v>
      </c>
      <c r="F328" s="5" t="s">
        <v>131</v>
      </c>
      <c r="G328" s="5" t="s">
        <v>203</v>
      </c>
      <c r="H328" s="5" t="s">
        <v>141</v>
      </c>
      <c r="I328" s="5" t="s">
        <v>11</v>
      </c>
    </row>
    <row r="329" spans="1:9" ht="43.2" x14ac:dyDescent="0.3">
      <c r="A329" s="5" t="s">
        <v>121</v>
      </c>
      <c r="B329" s="5" t="s">
        <v>135</v>
      </c>
      <c r="C329" s="5" t="s">
        <v>133</v>
      </c>
      <c r="D329" s="9" t="s">
        <v>132</v>
      </c>
      <c r="E329" s="5" t="s">
        <v>137</v>
      </c>
      <c r="F329" s="5" t="s">
        <v>131</v>
      </c>
      <c r="G329" s="5" t="s">
        <v>203</v>
      </c>
      <c r="H329" s="5" t="s">
        <v>141</v>
      </c>
      <c r="I329" s="5" t="s">
        <v>157</v>
      </c>
    </row>
    <row r="330" spans="1:9" ht="43.2" x14ac:dyDescent="0.3">
      <c r="A330" s="5" t="s">
        <v>121</v>
      </c>
      <c r="B330" s="5" t="s">
        <v>135</v>
      </c>
      <c r="C330" s="5" t="s">
        <v>133</v>
      </c>
      <c r="D330" s="9" t="s">
        <v>132</v>
      </c>
      <c r="E330" s="5" t="s">
        <v>137</v>
      </c>
      <c r="F330" s="5" t="s">
        <v>131</v>
      </c>
      <c r="G330" s="5" t="s">
        <v>203</v>
      </c>
      <c r="H330" s="5" t="s">
        <v>141</v>
      </c>
      <c r="I330" s="5" t="s">
        <v>147</v>
      </c>
    </row>
    <row r="331" spans="1:9" ht="43.2" x14ac:dyDescent="0.3">
      <c r="A331" s="5" t="s">
        <v>121</v>
      </c>
      <c r="B331" s="5" t="s">
        <v>135</v>
      </c>
      <c r="C331" s="5" t="s">
        <v>133</v>
      </c>
      <c r="D331" s="9" t="s">
        <v>132</v>
      </c>
      <c r="E331" s="5" t="s">
        <v>137</v>
      </c>
      <c r="F331" s="5" t="s">
        <v>131</v>
      </c>
      <c r="G331" s="5" t="s">
        <v>203</v>
      </c>
      <c r="H331" s="5" t="s">
        <v>139</v>
      </c>
      <c r="I331" s="5" t="s">
        <v>153</v>
      </c>
    </row>
    <row r="332" spans="1:9" ht="43.2" x14ac:dyDescent="0.3">
      <c r="A332" s="5" t="s">
        <v>121</v>
      </c>
      <c r="B332" s="5" t="s">
        <v>135</v>
      </c>
      <c r="C332" s="5" t="s">
        <v>133</v>
      </c>
      <c r="D332" s="9" t="s">
        <v>132</v>
      </c>
      <c r="E332" s="5" t="s">
        <v>137</v>
      </c>
      <c r="F332" s="5" t="s">
        <v>131</v>
      </c>
      <c r="G332" s="5" t="s">
        <v>203</v>
      </c>
      <c r="H332" s="5" t="s">
        <v>139</v>
      </c>
      <c r="I332" s="5" t="s">
        <v>155</v>
      </c>
    </row>
    <row r="333" spans="1:9" ht="43.2" x14ac:dyDescent="0.3">
      <c r="A333" s="5" t="s">
        <v>121</v>
      </c>
      <c r="B333" s="5" t="s">
        <v>135</v>
      </c>
      <c r="C333" s="5" t="s">
        <v>133</v>
      </c>
      <c r="D333" s="9" t="s">
        <v>132</v>
      </c>
      <c r="E333" s="5" t="s">
        <v>137</v>
      </c>
      <c r="F333" s="5" t="s">
        <v>131</v>
      </c>
      <c r="G333" s="5" t="s">
        <v>203</v>
      </c>
      <c r="H333" s="5" t="s">
        <v>139</v>
      </c>
      <c r="I333" s="5" t="s">
        <v>157</v>
      </c>
    </row>
    <row r="334" spans="1:9" ht="43.2" x14ac:dyDescent="0.3">
      <c r="A334" s="5" t="s">
        <v>121</v>
      </c>
      <c r="B334" s="5" t="s">
        <v>59</v>
      </c>
      <c r="C334" s="5" t="s">
        <v>133</v>
      </c>
      <c r="D334" s="9" t="s">
        <v>132</v>
      </c>
      <c r="E334" s="5" t="s">
        <v>137</v>
      </c>
      <c r="F334" s="5" t="s">
        <v>131</v>
      </c>
      <c r="G334" s="5" t="s">
        <v>203</v>
      </c>
      <c r="H334" s="5" t="s">
        <v>139</v>
      </c>
      <c r="I334" s="5" t="s">
        <v>147</v>
      </c>
    </row>
    <row r="335" spans="1:9" ht="43.2" x14ac:dyDescent="0.3">
      <c r="A335" s="5" t="s">
        <v>121</v>
      </c>
      <c r="B335" s="5" t="s">
        <v>59</v>
      </c>
      <c r="C335" s="5" t="s">
        <v>133</v>
      </c>
      <c r="D335" s="9" t="s">
        <v>132</v>
      </c>
      <c r="E335" s="5" t="s">
        <v>137</v>
      </c>
      <c r="F335" s="5" t="s">
        <v>131</v>
      </c>
      <c r="G335" s="5" t="s">
        <v>203</v>
      </c>
      <c r="H335" s="5" t="s">
        <v>5</v>
      </c>
      <c r="I335" s="5" t="s">
        <v>11</v>
      </c>
    </row>
    <row r="336" spans="1:9" ht="43.2" x14ac:dyDescent="0.3">
      <c r="A336" s="5" t="s">
        <v>121</v>
      </c>
      <c r="B336" s="5" t="s">
        <v>59</v>
      </c>
      <c r="C336" s="5" t="s">
        <v>133</v>
      </c>
      <c r="D336" s="9" t="s">
        <v>132</v>
      </c>
      <c r="E336" s="5" t="s">
        <v>137</v>
      </c>
      <c r="F336" s="5" t="s">
        <v>131</v>
      </c>
      <c r="G336" s="5" t="s">
        <v>203</v>
      </c>
      <c r="H336" s="5" t="s">
        <v>5</v>
      </c>
      <c r="I336" s="5" t="s">
        <v>154</v>
      </c>
    </row>
    <row r="337" spans="1:9" ht="43.2" x14ac:dyDescent="0.3">
      <c r="A337" s="5" t="s">
        <v>121</v>
      </c>
      <c r="B337" s="5" t="s">
        <v>59</v>
      </c>
      <c r="C337" s="5" t="s">
        <v>133</v>
      </c>
      <c r="D337" s="9" t="s">
        <v>132</v>
      </c>
      <c r="E337" s="5" t="s">
        <v>137</v>
      </c>
      <c r="F337" s="5" t="s">
        <v>131</v>
      </c>
      <c r="G337" s="5" t="s">
        <v>203</v>
      </c>
      <c r="H337" s="5" t="s">
        <v>5</v>
      </c>
      <c r="I337" s="5" t="s">
        <v>157</v>
      </c>
    </row>
    <row r="338" spans="1:9" ht="43.2" x14ac:dyDescent="0.3">
      <c r="A338" s="5" t="s">
        <v>121</v>
      </c>
      <c r="B338" s="5" t="s">
        <v>59</v>
      </c>
      <c r="C338" s="5" t="s">
        <v>133</v>
      </c>
      <c r="D338" s="9" t="s">
        <v>132</v>
      </c>
      <c r="E338" s="5" t="s">
        <v>137</v>
      </c>
      <c r="F338" s="5" t="s">
        <v>131</v>
      </c>
      <c r="G338" s="5" t="s">
        <v>203</v>
      </c>
      <c r="H338" s="5" t="s">
        <v>5</v>
      </c>
      <c r="I338" s="5" t="s">
        <v>147</v>
      </c>
    </row>
    <row r="339" spans="1:9" ht="43.2" x14ac:dyDescent="0.3">
      <c r="A339" s="5" t="s">
        <v>121</v>
      </c>
      <c r="B339" s="5" t="s">
        <v>135</v>
      </c>
      <c r="C339" s="5" t="s">
        <v>133</v>
      </c>
      <c r="D339" s="9" t="s">
        <v>132</v>
      </c>
      <c r="E339" s="5" t="s">
        <v>137</v>
      </c>
      <c r="F339" s="5" t="s">
        <v>131</v>
      </c>
      <c r="G339" s="5" t="s">
        <v>203</v>
      </c>
      <c r="H339" s="5" t="s">
        <v>145</v>
      </c>
      <c r="I339" s="5" t="s">
        <v>11</v>
      </c>
    </row>
    <row r="340" spans="1:9" ht="43.2" x14ac:dyDescent="0.3">
      <c r="A340" s="5" t="s">
        <v>121</v>
      </c>
      <c r="B340" s="5" t="s">
        <v>135</v>
      </c>
      <c r="C340" s="5" t="s">
        <v>133</v>
      </c>
      <c r="D340" s="9" t="s">
        <v>132</v>
      </c>
      <c r="E340" s="5" t="s">
        <v>137</v>
      </c>
      <c r="F340" s="5" t="s">
        <v>131</v>
      </c>
      <c r="G340" s="5" t="s">
        <v>203</v>
      </c>
      <c r="H340" s="5" t="s">
        <v>145</v>
      </c>
      <c r="I340" s="5" t="s">
        <v>147</v>
      </c>
    </row>
    <row r="341" spans="1:9" ht="43.2" x14ac:dyDescent="0.3">
      <c r="A341" s="5" t="s">
        <v>121</v>
      </c>
      <c r="B341" s="5" t="s">
        <v>135</v>
      </c>
      <c r="C341" s="5" t="s">
        <v>133</v>
      </c>
      <c r="D341" s="9" t="s">
        <v>132</v>
      </c>
      <c r="E341" s="5" t="s">
        <v>137</v>
      </c>
      <c r="F341" s="5" t="s">
        <v>131</v>
      </c>
      <c r="G341" s="5" t="s">
        <v>203</v>
      </c>
      <c r="H341" s="5" t="s">
        <v>145</v>
      </c>
      <c r="I341" s="5" t="s">
        <v>207</v>
      </c>
    </row>
    <row r="342" spans="1:9" ht="43.2" x14ac:dyDescent="0.3">
      <c r="A342" s="5" t="s">
        <v>121</v>
      </c>
      <c r="B342" s="5" t="s">
        <v>135</v>
      </c>
      <c r="C342" s="5" t="s">
        <v>133</v>
      </c>
      <c r="D342" s="9" t="s">
        <v>132</v>
      </c>
      <c r="E342" s="5" t="s">
        <v>137</v>
      </c>
      <c r="F342" s="5" t="s">
        <v>131</v>
      </c>
      <c r="G342" s="5" t="s">
        <v>203</v>
      </c>
      <c r="H342" s="5" t="s">
        <v>145</v>
      </c>
      <c r="I342" s="5" t="s">
        <v>154</v>
      </c>
    </row>
    <row r="343" spans="1:9" ht="43.2" x14ac:dyDescent="0.3">
      <c r="A343" s="5" t="s">
        <v>121</v>
      </c>
      <c r="B343" s="5" t="s">
        <v>136</v>
      </c>
      <c r="C343" s="5" t="s">
        <v>133</v>
      </c>
      <c r="D343" s="9" t="s">
        <v>132</v>
      </c>
      <c r="E343" s="5" t="s">
        <v>137</v>
      </c>
      <c r="F343" s="5" t="s">
        <v>131</v>
      </c>
      <c r="G343" s="5" t="s">
        <v>203</v>
      </c>
      <c r="H343" s="5" t="s">
        <v>146</v>
      </c>
      <c r="I343" s="5" t="s">
        <v>6</v>
      </c>
    </row>
    <row r="344" spans="1:9" ht="43.2" x14ac:dyDescent="0.3">
      <c r="A344" s="5" t="s">
        <v>121</v>
      </c>
      <c r="B344" s="5" t="s">
        <v>136</v>
      </c>
      <c r="C344" s="5" t="s">
        <v>133</v>
      </c>
      <c r="D344" s="9" t="s">
        <v>132</v>
      </c>
      <c r="E344" s="5" t="s">
        <v>137</v>
      </c>
      <c r="F344" s="5" t="s">
        <v>131</v>
      </c>
      <c r="G344" s="5" t="s">
        <v>203</v>
      </c>
      <c r="H344" s="5" t="s">
        <v>146</v>
      </c>
      <c r="I344" s="5" t="s">
        <v>157</v>
      </c>
    </row>
    <row r="345" spans="1:9" ht="43.2" x14ac:dyDescent="0.3">
      <c r="A345" s="5" t="s">
        <v>121</v>
      </c>
      <c r="B345" s="5" t="s">
        <v>136</v>
      </c>
      <c r="C345" s="5" t="s">
        <v>133</v>
      </c>
      <c r="D345" s="9" t="s">
        <v>132</v>
      </c>
      <c r="E345" s="5" t="s">
        <v>137</v>
      </c>
      <c r="F345" s="5" t="s">
        <v>131</v>
      </c>
      <c r="G345" s="5" t="s">
        <v>203</v>
      </c>
      <c r="H345" s="5" t="s">
        <v>146</v>
      </c>
      <c r="I345" s="5" t="s">
        <v>159</v>
      </c>
    </row>
    <row r="346" spans="1:9" ht="43.2" x14ac:dyDescent="0.3">
      <c r="A346" s="5" t="s">
        <v>121</v>
      </c>
      <c r="B346" s="5" t="s">
        <v>135</v>
      </c>
      <c r="C346" s="5" t="s">
        <v>133</v>
      </c>
      <c r="D346" s="9" t="s">
        <v>132</v>
      </c>
      <c r="E346" s="5" t="s">
        <v>137</v>
      </c>
      <c r="F346" s="5" t="s">
        <v>131</v>
      </c>
      <c r="G346" s="5" t="s">
        <v>203</v>
      </c>
      <c r="H346" s="5" t="s">
        <v>140</v>
      </c>
      <c r="I346" s="5" t="s">
        <v>11</v>
      </c>
    </row>
    <row r="347" spans="1:9" ht="43.2" x14ac:dyDescent="0.3">
      <c r="A347" s="5" t="s">
        <v>121</v>
      </c>
      <c r="B347" s="5" t="s">
        <v>134</v>
      </c>
      <c r="C347" s="5" t="s">
        <v>133</v>
      </c>
      <c r="D347" s="9" t="s">
        <v>132</v>
      </c>
      <c r="E347" s="5" t="s">
        <v>137</v>
      </c>
      <c r="F347" s="5" t="s">
        <v>131</v>
      </c>
      <c r="G347" s="5" t="s">
        <v>203</v>
      </c>
      <c r="H347" s="5" t="s">
        <v>138</v>
      </c>
      <c r="I347" s="5" t="s">
        <v>288</v>
      </c>
    </row>
    <row r="348" spans="1:9" ht="43.2" x14ac:dyDescent="0.3">
      <c r="A348" s="5" t="s">
        <v>121</v>
      </c>
      <c r="B348" s="5" t="s">
        <v>134</v>
      </c>
      <c r="C348" s="5" t="s">
        <v>133</v>
      </c>
      <c r="D348" s="9" t="s">
        <v>132</v>
      </c>
      <c r="E348" s="5" t="s">
        <v>137</v>
      </c>
      <c r="F348" s="5" t="s">
        <v>131</v>
      </c>
      <c r="G348" s="5" t="s">
        <v>203</v>
      </c>
      <c r="H348" s="5" t="s">
        <v>141</v>
      </c>
      <c r="I348" s="5" t="s">
        <v>288</v>
      </c>
    </row>
    <row r="349" spans="1:9" ht="43.2" x14ac:dyDescent="0.3">
      <c r="A349" s="5" t="s">
        <v>121</v>
      </c>
      <c r="B349" s="5" t="s">
        <v>134</v>
      </c>
      <c r="C349" s="5" t="s">
        <v>133</v>
      </c>
      <c r="D349" s="9" t="s">
        <v>132</v>
      </c>
      <c r="E349" s="5" t="s">
        <v>137</v>
      </c>
      <c r="F349" s="5" t="s">
        <v>131</v>
      </c>
      <c r="G349" s="5" t="s">
        <v>203</v>
      </c>
      <c r="H349" s="5" t="s">
        <v>139</v>
      </c>
      <c r="I349" s="5" t="s">
        <v>288</v>
      </c>
    </row>
    <row r="350" spans="1:9" ht="43.2" x14ac:dyDescent="0.3">
      <c r="A350" s="5" t="s">
        <v>121</v>
      </c>
      <c r="B350" s="5" t="s">
        <v>134</v>
      </c>
      <c r="C350" s="5" t="s">
        <v>133</v>
      </c>
      <c r="D350" s="9" t="s">
        <v>132</v>
      </c>
      <c r="E350" s="5" t="s">
        <v>137</v>
      </c>
      <c r="F350" s="5" t="s">
        <v>131</v>
      </c>
      <c r="G350" s="5" t="s">
        <v>203</v>
      </c>
      <c r="H350" s="5" t="s">
        <v>5</v>
      </c>
      <c r="I350" s="5" t="s">
        <v>288</v>
      </c>
    </row>
    <row r="351" spans="1:9" ht="43.2" x14ac:dyDescent="0.3">
      <c r="A351" s="5" t="s">
        <v>121</v>
      </c>
      <c r="B351" s="5" t="s">
        <v>134</v>
      </c>
      <c r="C351" s="5" t="s">
        <v>133</v>
      </c>
      <c r="D351" s="9" t="s">
        <v>132</v>
      </c>
      <c r="E351" s="5" t="s">
        <v>137</v>
      </c>
      <c r="F351" s="5" t="s">
        <v>131</v>
      </c>
      <c r="G351" s="5" t="s">
        <v>203</v>
      </c>
      <c r="H351" s="5" t="s">
        <v>140</v>
      </c>
      <c r="I351" s="5" t="s">
        <v>288</v>
      </c>
    </row>
    <row r="352" spans="1:9" ht="43.2" x14ac:dyDescent="0.3">
      <c r="A352" s="5" t="s">
        <v>121</v>
      </c>
      <c r="B352" s="5" t="s">
        <v>134</v>
      </c>
      <c r="C352" s="5" t="s">
        <v>133</v>
      </c>
      <c r="D352" s="9" t="s">
        <v>132</v>
      </c>
      <c r="E352" s="5" t="s">
        <v>137</v>
      </c>
      <c r="F352" s="5" t="s">
        <v>131</v>
      </c>
      <c r="G352" s="5" t="s">
        <v>203</v>
      </c>
      <c r="H352" s="5" t="s">
        <v>144</v>
      </c>
      <c r="I352" s="5" t="s">
        <v>288</v>
      </c>
    </row>
    <row r="353" spans="1:9" ht="43.2" x14ac:dyDescent="0.3">
      <c r="A353" s="5" t="s">
        <v>121</v>
      </c>
      <c r="B353" s="5" t="s">
        <v>135</v>
      </c>
      <c r="C353" s="5" t="s">
        <v>133</v>
      </c>
      <c r="D353" s="9" t="s">
        <v>132</v>
      </c>
      <c r="E353" s="5" t="s">
        <v>137</v>
      </c>
      <c r="F353" s="5" t="s">
        <v>131</v>
      </c>
      <c r="G353" s="5" t="s">
        <v>269</v>
      </c>
      <c r="H353" s="5" t="s">
        <v>141</v>
      </c>
      <c r="I353" s="5" t="s">
        <v>7</v>
      </c>
    </row>
    <row r="354" spans="1:9" ht="43.2" x14ac:dyDescent="0.3">
      <c r="A354" s="5" t="s">
        <v>121</v>
      </c>
      <c r="B354" s="5" t="s">
        <v>135</v>
      </c>
      <c r="C354" s="5" t="s">
        <v>133</v>
      </c>
      <c r="D354" s="9" t="s">
        <v>132</v>
      </c>
      <c r="E354" s="5" t="s">
        <v>137</v>
      </c>
      <c r="F354" s="5" t="s">
        <v>131</v>
      </c>
      <c r="G354" s="5" t="s">
        <v>269</v>
      </c>
      <c r="H354" s="5" t="s">
        <v>141</v>
      </c>
      <c r="I354" s="5" t="s">
        <v>152</v>
      </c>
    </row>
    <row r="355" spans="1:9" ht="43.2" x14ac:dyDescent="0.3">
      <c r="A355" s="5" t="s">
        <v>121</v>
      </c>
      <c r="B355" s="5" t="s">
        <v>135</v>
      </c>
      <c r="C355" s="5" t="s">
        <v>133</v>
      </c>
      <c r="D355" s="9" t="s">
        <v>132</v>
      </c>
      <c r="E355" s="5" t="s">
        <v>137</v>
      </c>
      <c r="F355" s="5" t="s">
        <v>131</v>
      </c>
      <c r="G355" s="5" t="s">
        <v>269</v>
      </c>
      <c r="H355" s="5" t="s">
        <v>139</v>
      </c>
      <c r="I355" s="5" t="s">
        <v>7</v>
      </c>
    </row>
    <row r="356" spans="1:9" ht="43.2" x14ac:dyDescent="0.3">
      <c r="A356" s="5" t="s">
        <v>121</v>
      </c>
      <c r="B356" s="5" t="s">
        <v>135</v>
      </c>
      <c r="C356" s="5" t="s">
        <v>133</v>
      </c>
      <c r="D356" s="9" t="s">
        <v>132</v>
      </c>
      <c r="E356" s="5" t="s">
        <v>137</v>
      </c>
      <c r="F356" s="5" t="s">
        <v>131</v>
      </c>
      <c r="G356" s="5" t="s">
        <v>269</v>
      </c>
      <c r="H356" s="5" t="s">
        <v>139</v>
      </c>
      <c r="I356" s="5" t="s">
        <v>153</v>
      </c>
    </row>
    <row r="357" spans="1:9" ht="43.2" x14ac:dyDescent="0.3">
      <c r="A357" s="5" t="s">
        <v>121</v>
      </c>
      <c r="B357" s="5" t="s">
        <v>136</v>
      </c>
      <c r="C357" s="5" t="s">
        <v>133</v>
      </c>
      <c r="D357" s="9" t="s">
        <v>132</v>
      </c>
      <c r="E357" s="5" t="s">
        <v>137</v>
      </c>
      <c r="F357" s="5" t="s">
        <v>131</v>
      </c>
      <c r="G357" s="5" t="s">
        <v>269</v>
      </c>
      <c r="H357" s="5" t="s">
        <v>139</v>
      </c>
      <c r="I357" s="5" t="s">
        <v>155</v>
      </c>
    </row>
    <row r="358" spans="1:9" ht="43.2" x14ac:dyDescent="0.3">
      <c r="A358" s="5" t="s">
        <v>121</v>
      </c>
      <c r="B358" s="5" t="s">
        <v>136</v>
      </c>
      <c r="C358" s="5" t="s">
        <v>133</v>
      </c>
      <c r="D358" s="9" t="s">
        <v>132</v>
      </c>
      <c r="E358" s="5" t="s">
        <v>137</v>
      </c>
      <c r="F358" s="5" t="s">
        <v>131</v>
      </c>
      <c r="G358" s="5" t="s">
        <v>269</v>
      </c>
      <c r="H358" s="5" t="s">
        <v>5</v>
      </c>
      <c r="I358" s="5" t="s">
        <v>154</v>
      </c>
    </row>
    <row r="359" spans="1:9" ht="43.2" x14ac:dyDescent="0.3">
      <c r="A359" s="5" t="s">
        <v>121</v>
      </c>
      <c r="B359" s="5" t="s">
        <v>136</v>
      </c>
      <c r="C359" s="5" t="s">
        <v>133</v>
      </c>
      <c r="D359" s="9" t="s">
        <v>132</v>
      </c>
      <c r="E359" s="5" t="s">
        <v>137</v>
      </c>
      <c r="F359" s="5" t="s">
        <v>131</v>
      </c>
      <c r="G359" s="5" t="s">
        <v>269</v>
      </c>
      <c r="H359" s="5" t="s">
        <v>5</v>
      </c>
      <c r="I359" s="5" t="s">
        <v>6</v>
      </c>
    </row>
    <row r="360" spans="1:9" ht="43.2" x14ac:dyDescent="0.3">
      <c r="A360" s="5" t="s">
        <v>121</v>
      </c>
      <c r="B360" s="5" t="s">
        <v>136</v>
      </c>
      <c r="C360" s="5" t="s">
        <v>133</v>
      </c>
      <c r="D360" s="9" t="s">
        <v>132</v>
      </c>
      <c r="E360" s="5" t="s">
        <v>137</v>
      </c>
      <c r="F360" s="5" t="s">
        <v>131</v>
      </c>
      <c r="G360" s="5" t="s">
        <v>269</v>
      </c>
      <c r="H360" s="5" t="s">
        <v>146</v>
      </c>
      <c r="I360" s="5" t="s">
        <v>6</v>
      </c>
    </row>
    <row r="361" spans="1:9" ht="43.2" x14ac:dyDescent="0.3">
      <c r="A361" s="5" t="s">
        <v>121</v>
      </c>
      <c r="B361" s="5" t="s">
        <v>136</v>
      </c>
      <c r="C361" s="5" t="s">
        <v>133</v>
      </c>
      <c r="D361" s="9" t="s">
        <v>132</v>
      </c>
      <c r="E361" s="5" t="s">
        <v>137</v>
      </c>
      <c r="F361" s="5" t="s">
        <v>131</v>
      </c>
      <c r="G361" s="5" t="s">
        <v>265</v>
      </c>
      <c r="H361" s="5" t="s">
        <v>3</v>
      </c>
      <c r="I361" s="5" t="s">
        <v>169</v>
      </c>
    </row>
    <row r="362" spans="1:9" ht="43.2" x14ac:dyDescent="0.3">
      <c r="A362" s="5" t="s">
        <v>121</v>
      </c>
      <c r="B362" s="5" t="s">
        <v>59</v>
      </c>
      <c r="C362" s="5" t="s">
        <v>133</v>
      </c>
      <c r="D362" s="9" t="s">
        <v>132</v>
      </c>
      <c r="E362" s="5" t="s">
        <v>137</v>
      </c>
      <c r="F362" s="5" t="s">
        <v>131</v>
      </c>
      <c r="G362" s="5" t="s">
        <v>265</v>
      </c>
      <c r="H362" s="5" t="s">
        <v>3</v>
      </c>
      <c r="I362" s="5" t="s">
        <v>170</v>
      </c>
    </row>
    <row r="363" spans="1:9" ht="43.2" x14ac:dyDescent="0.3">
      <c r="A363" s="5" t="s">
        <v>121</v>
      </c>
      <c r="B363" s="5" t="s">
        <v>59</v>
      </c>
      <c r="C363" s="5" t="s">
        <v>133</v>
      </c>
      <c r="D363" s="9" t="s">
        <v>132</v>
      </c>
      <c r="E363" s="5" t="s">
        <v>137</v>
      </c>
      <c r="F363" s="5" t="s">
        <v>131</v>
      </c>
      <c r="G363" s="5" t="s">
        <v>265</v>
      </c>
      <c r="H363" s="5" t="s">
        <v>3</v>
      </c>
      <c r="I363" s="5" t="s">
        <v>173</v>
      </c>
    </row>
    <row r="364" spans="1:9" ht="43.2" x14ac:dyDescent="0.3">
      <c r="A364" s="5" t="s">
        <v>121</v>
      </c>
      <c r="B364" s="5" t="s">
        <v>59</v>
      </c>
      <c r="C364" s="5" t="s">
        <v>133</v>
      </c>
      <c r="D364" s="9" t="s">
        <v>132</v>
      </c>
      <c r="E364" s="5" t="s">
        <v>137</v>
      </c>
      <c r="F364" s="5" t="s">
        <v>131</v>
      </c>
      <c r="G364" s="5" t="s">
        <v>265</v>
      </c>
      <c r="H364" s="5" t="s">
        <v>3</v>
      </c>
      <c r="I364" s="5" t="s">
        <v>174</v>
      </c>
    </row>
    <row r="365" spans="1:9" ht="43.2" x14ac:dyDescent="0.3">
      <c r="A365" s="5" t="s">
        <v>121</v>
      </c>
      <c r="B365" s="5" t="s">
        <v>136</v>
      </c>
      <c r="C365" s="5" t="s">
        <v>133</v>
      </c>
      <c r="D365" s="9" t="s">
        <v>132</v>
      </c>
      <c r="E365" s="5" t="s">
        <v>137</v>
      </c>
      <c r="F365" s="5" t="s">
        <v>131</v>
      </c>
      <c r="G365" s="5" t="s">
        <v>265</v>
      </c>
      <c r="H365" s="5" t="s">
        <v>3</v>
      </c>
      <c r="I365" s="5" t="s">
        <v>175</v>
      </c>
    </row>
    <row r="366" spans="1:9" ht="43.2" x14ac:dyDescent="0.3">
      <c r="A366" s="5" t="s">
        <v>121</v>
      </c>
      <c r="B366" s="5" t="s">
        <v>136</v>
      </c>
      <c r="C366" s="5" t="s">
        <v>133</v>
      </c>
      <c r="D366" s="9" t="s">
        <v>132</v>
      </c>
      <c r="E366" s="5" t="s">
        <v>137</v>
      </c>
      <c r="F366" s="5" t="s">
        <v>131</v>
      </c>
      <c r="G366" s="5" t="s">
        <v>265</v>
      </c>
      <c r="H366" s="5" t="s">
        <v>3</v>
      </c>
      <c r="I366" s="5" t="s">
        <v>171</v>
      </c>
    </row>
    <row r="367" spans="1:9" ht="43.2" x14ac:dyDescent="0.3">
      <c r="A367" s="5" t="s">
        <v>121</v>
      </c>
      <c r="B367" s="5" t="s">
        <v>136</v>
      </c>
      <c r="C367" s="5" t="s">
        <v>133</v>
      </c>
      <c r="D367" s="9" t="s">
        <v>132</v>
      </c>
      <c r="E367" s="5" t="s">
        <v>137</v>
      </c>
      <c r="F367" s="5" t="s">
        <v>131</v>
      </c>
      <c r="G367" s="5" t="s">
        <v>265</v>
      </c>
      <c r="H367" s="5" t="s">
        <v>3</v>
      </c>
      <c r="I367" s="5" t="s">
        <v>172</v>
      </c>
    </row>
    <row r="368" spans="1:9" s="3" customFormat="1" ht="43.2" x14ac:dyDescent="0.3">
      <c r="A368" s="4" t="s">
        <v>121</v>
      </c>
      <c r="B368" s="4" t="s">
        <v>59</v>
      </c>
      <c r="C368" s="4" t="s">
        <v>133</v>
      </c>
      <c r="D368" s="4" t="s">
        <v>132</v>
      </c>
      <c r="E368" s="4" t="s">
        <v>137</v>
      </c>
      <c r="F368" s="4" t="s">
        <v>131</v>
      </c>
      <c r="G368" s="4" t="s">
        <v>265</v>
      </c>
      <c r="H368" s="4" t="s">
        <v>3</v>
      </c>
      <c r="I368" s="4" t="s">
        <v>290</v>
      </c>
    </row>
    <row r="369" spans="1:9" s="3" customFormat="1" ht="43.2" x14ac:dyDescent="0.3">
      <c r="A369" s="4" t="s">
        <v>121</v>
      </c>
      <c r="B369" s="4" t="s">
        <v>59</v>
      </c>
      <c r="C369" s="4" t="s">
        <v>133</v>
      </c>
      <c r="D369" s="4" t="s">
        <v>132</v>
      </c>
      <c r="E369" s="4" t="s">
        <v>137</v>
      </c>
      <c r="F369" s="4" t="s">
        <v>131</v>
      </c>
      <c r="G369" s="4" t="s">
        <v>265</v>
      </c>
      <c r="H369" s="4" t="s">
        <v>3</v>
      </c>
      <c r="I369" s="4" t="s">
        <v>293</v>
      </c>
    </row>
    <row r="370" spans="1:9" s="3" customFormat="1" ht="43.2" x14ac:dyDescent="0.3">
      <c r="A370" s="4" t="s">
        <v>121</v>
      </c>
      <c r="B370" s="4" t="s">
        <v>59</v>
      </c>
      <c r="C370" s="4" t="s">
        <v>133</v>
      </c>
      <c r="D370" s="4" t="s">
        <v>132</v>
      </c>
      <c r="E370" s="4" t="s">
        <v>137</v>
      </c>
      <c r="F370" s="4" t="s">
        <v>131</v>
      </c>
      <c r="G370" s="4" t="s">
        <v>265</v>
      </c>
      <c r="H370" s="4" t="s">
        <v>3</v>
      </c>
      <c r="I370" s="4" t="s">
        <v>294</v>
      </c>
    </row>
    <row r="371" spans="1:9" s="3" customFormat="1" ht="43.2" x14ac:dyDescent="0.3">
      <c r="A371" s="4" t="s">
        <v>121</v>
      </c>
      <c r="B371" s="4" t="s">
        <v>59</v>
      </c>
      <c r="C371" s="4" t="s">
        <v>133</v>
      </c>
      <c r="D371" s="4" t="s">
        <v>132</v>
      </c>
      <c r="E371" s="4" t="s">
        <v>137</v>
      </c>
      <c r="F371" s="4" t="s">
        <v>131</v>
      </c>
      <c r="G371" s="4" t="s">
        <v>265</v>
      </c>
      <c r="H371" s="4" t="s">
        <v>3</v>
      </c>
      <c r="I371" s="4" t="s">
        <v>295</v>
      </c>
    </row>
    <row r="372" spans="1:9" s="3" customFormat="1" ht="43.2" x14ac:dyDescent="0.3">
      <c r="A372" s="4" t="s">
        <v>121</v>
      </c>
      <c r="B372" s="4" t="s">
        <v>136</v>
      </c>
      <c r="C372" s="4" t="s">
        <v>133</v>
      </c>
      <c r="D372" s="4" t="s">
        <v>132</v>
      </c>
      <c r="E372" s="4" t="s">
        <v>137</v>
      </c>
      <c r="F372" s="4" t="s">
        <v>131</v>
      </c>
      <c r="G372" s="4" t="s">
        <v>265</v>
      </c>
      <c r="H372" s="4" t="s">
        <v>3</v>
      </c>
      <c r="I372" s="4" t="s">
        <v>296</v>
      </c>
    </row>
    <row r="373" spans="1:9" s="3" customFormat="1" ht="43.2" x14ac:dyDescent="0.3">
      <c r="A373" s="4" t="s">
        <v>121</v>
      </c>
      <c r="B373" s="4" t="s">
        <v>136</v>
      </c>
      <c r="C373" s="4" t="s">
        <v>133</v>
      </c>
      <c r="D373" s="4" t="s">
        <v>132</v>
      </c>
      <c r="E373" s="4" t="s">
        <v>137</v>
      </c>
      <c r="F373" s="4" t="s">
        <v>131</v>
      </c>
      <c r="G373" s="4" t="s">
        <v>265</v>
      </c>
      <c r="H373" s="4" t="s">
        <v>3</v>
      </c>
      <c r="I373" s="4" t="s">
        <v>297</v>
      </c>
    </row>
    <row r="374" spans="1:9" s="3" customFormat="1" ht="43.2" x14ac:dyDescent="0.3">
      <c r="A374" s="4" t="s">
        <v>121</v>
      </c>
      <c r="B374" s="4" t="s">
        <v>136</v>
      </c>
      <c r="C374" s="4" t="s">
        <v>133</v>
      </c>
      <c r="D374" s="4" t="s">
        <v>132</v>
      </c>
      <c r="E374" s="4" t="s">
        <v>137</v>
      </c>
      <c r="F374" s="4" t="s">
        <v>131</v>
      </c>
      <c r="G374" s="4" t="s">
        <v>265</v>
      </c>
      <c r="H374" s="4" t="s">
        <v>3</v>
      </c>
      <c r="I374" s="4" t="s">
        <v>305</v>
      </c>
    </row>
    <row r="375" spans="1:9" s="3" customFormat="1" ht="43.2" x14ac:dyDescent="0.3">
      <c r="A375" s="4" t="s">
        <v>121</v>
      </c>
      <c r="B375" s="4" t="s">
        <v>136</v>
      </c>
      <c r="C375" s="4" t="s">
        <v>133</v>
      </c>
      <c r="D375" s="4" t="s">
        <v>132</v>
      </c>
      <c r="E375" s="4" t="s">
        <v>137</v>
      </c>
      <c r="F375" s="4" t="s">
        <v>131</v>
      </c>
      <c r="G375" s="4" t="s">
        <v>265</v>
      </c>
      <c r="H375" s="4" t="s">
        <v>3</v>
      </c>
      <c r="I375" s="4" t="s">
        <v>300</v>
      </c>
    </row>
    <row r="376" spans="1:9" s="3" customFormat="1" ht="43.2" x14ac:dyDescent="0.3">
      <c r="A376" s="4" t="s">
        <v>121</v>
      </c>
      <c r="B376" s="4" t="s">
        <v>59</v>
      </c>
      <c r="C376" s="4" t="s">
        <v>133</v>
      </c>
      <c r="D376" s="4" t="s">
        <v>132</v>
      </c>
      <c r="E376" s="4" t="s">
        <v>137</v>
      </c>
      <c r="F376" s="4" t="s">
        <v>130</v>
      </c>
      <c r="G376" s="4" t="s">
        <v>262</v>
      </c>
      <c r="H376" s="4" t="s">
        <v>3</v>
      </c>
      <c r="I376" s="4" t="s">
        <v>164</v>
      </c>
    </row>
    <row r="377" spans="1:9" s="3" customFormat="1" ht="43.2" x14ac:dyDescent="0.3">
      <c r="A377" s="4" t="s">
        <v>121</v>
      </c>
      <c r="B377" s="4" t="s">
        <v>59</v>
      </c>
      <c r="C377" s="4" t="s">
        <v>133</v>
      </c>
      <c r="D377" s="4" t="s">
        <v>132</v>
      </c>
      <c r="E377" s="4" t="s">
        <v>137</v>
      </c>
      <c r="F377" s="4" t="s">
        <v>130</v>
      </c>
      <c r="G377" s="4" t="s">
        <v>262</v>
      </c>
      <c r="H377" s="4" t="s">
        <v>3</v>
      </c>
      <c r="I377" s="4" t="s">
        <v>165</v>
      </c>
    </row>
    <row r="378" spans="1:9" ht="43.2" x14ac:dyDescent="0.3">
      <c r="A378" s="5" t="s">
        <v>121</v>
      </c>
      <c r="B378" s="5" t="s">
        <v>59</v>
      </c>
      <c r="C378" s="5" t="s">
        <v>133</v>
      </c>
      <c r="D378" s="5" t="s">
        <v>132</v>
      </c>
      <c r="E378" s="5" t="s">
        <v>137</v>
      </c>
      <c r="F378" s="5" t="s">
        <v>130</v>
      </c>
      <c r="G378" s="5" t="s">
        <v>262</v>
      </c>
      <c r="H378" s="5" t="s">
        <v>3</v>
      </c>
      <c r="I378" s="5" t="s">
        <v>168</v>
      </c>
    </row>
    <row r="379" spans="1:9" ht="43.2" x14ac:dyDescent="0.3">
      <c r="A379" s="5" t="s">
        <v>121</v>
      </c>
      <c r="B379" s="5" t="s">
        <v>59</v>
      </c>
      <c r="C379" s="5" t="s">
        <v>133</v>
      </c>
      <c r="D379" s="5" t="s">
        <v>132</v>
      </c>
      <c r="E379" s="5" t="s">
        <v>137</v>
      </c>
      <c r="F379" s="5" t="s">
        <v>130</v>
      </c>
      <c r="G379" s="5" t="s">
        <v>262</v>
      </c>
      <c r="H379" s="5" t="s">
        <v>3</v>
      </c>
      <c r="I379" s="5" t="s">
        <v>167</v>
      </c>
    </row>
    <row r="380" spans="1:9" ht="43.2" x14ac:dyDescent="0.3">
      <c r="A380" s="5" t="s">
        <v>121</v>
      </c>
      <c r="B380" s="5" t="s">
        <v>59</v>
      </c>
      <c r="C380" s="5" t="s">
        <v>133</v>
      </c>
      <c r="D380" s="5" t="s">
        <v>132</v>
      </c>
      <c r="E380" s="5" t="s">
        <v>137</v>
      </c>
      <c r="F380" s="5" t="s">
        <v>130</v>
      </c>
      <c r="G380" s="5" t="s">
        <v>262</v>
      </c>
      <c r="H380" s="5" t="s">
        <v>3</v>
      </c>
      <c r="I380" s="5" t="s">
        <v>166</v>
      </c>
    </row>
    <row r="381" spans="1:9" ht="43.2" x14ac:dyDescent="0.3">
      <c r="A381" s="5" t="s">
        <v>121</v>
      </c>
      <c r="B381" s="5" t="s">
        <v>134</v>
      </c>
      <c r="C381" s="5" t="s">
        <v>133</v>
      </c>
      <c r="D381" s="5" t="s">
        <v>132</v>
      </c>
      <c r="E381" s="5" t="s">
        <v>137</v>
      </c>
      <c r="F381" s="5" t="s">
        <v>129</v>
      </c>
      <c r="G381" s="5" t="s">
        <v>60</v>
      </c>
      <c r="H381" s="5" t="s">
        <v>138</v>
      </c>
      <c r="I381" s="5" t="s">
        <v>11</v>
      </c>
    </row>
    <row r="382" spans="1:9" ht="43.2" x14ac:dyDescent="0.3">
      <c r="A382" s="5" t="s">
        <v>121</v>
      </c>
      <c r="B382" s="5" t="s">
        <v>134</v>
      </c>
      <c r="C382" s="5" t="s">
        <v>133</v>
      </c>
      <c r="D382" s="5" t="s">
        <v>132</v>
      </c>
      <c r="E382" s="5" t="s">
        <v>137</v>
      </c>
      <c r="F382" s="5" t="s">
        <v>129</v>
      </c>
      <c r="G382" s="5" t="s">
        <v>60</v>
      </c>
      <c r="H382" s="5" t="s">
        <v>138</v>
      </c>
      <c r="I382" s="5" t="s">
        <v>188</v>
      </c>
    </row>
    <row r="383" spans="1:9" ht="43.2" x14ac:dyDescent="0.3">
      <c r="A383" s="5" t="s">
        <v>121</v>
      </c>
      <c r="B383" s="5" t="s">
        <v>134</v>
      </c>
      <c r="C383" s="5" t="s">
        <v>133</v>
      </c>
      <c r="D383" s="5" t="s">
        <v>132</v>
      </c>
      <c r="E383" s="5" t="s">
        <v>137</v>
      </c>
      <c r="F383" s="5" t="s">
        <v>129</v>
      </c>
      <c r="G383" s="5" t="s">
        <v>60</v>
      </c>
      <c r="H383" s="5" t="s">
        <v>138</v>
      </c>
      <c r="I383" s="5" t="s">
        <v>306</v>
      </c>
    </row>
    <row r="384" spans="1:9" ht="43.2" x14ac:dyDescent="0.3">
      <c r="A384" s="5" t="s">
        <v>121</v>
      </c>
      <c r="B384" s="5" t="s">
        <v>134</v>
      </c>
      <c r="C384" s="5" t="s">
        <v>133</v>
      </c>
      <c r="D384" s="5" t="s">
        <v>132</v>
      </c>
      <c r="E384" s="5" t="s">
        <v>137</v>
      </c>
      <c r="F384" s="5" t="s">
        <v>129</v>
      </c>
      <c r="G384" s="5" t="s">
        <v>60</v>
      </c>
      <c r="H384" s="5" t="s">
        <v>138</v>
      </c>
      <c r="I384" s="5" t="s">
        <v>307</v>
      </c>
    </row>
    <row r="385" spans="1:9" ht="43.2" x14ac:dyDescent="0.3">
      <c r="A385" s="5" t="s">
        <v>121</v>
      </c>
      <c r="B385" s="5" t="s">
        <v>135</v>
      </c>
      <c r="C385" s="5" t="s">
        <v>133</v>
      </c>
      <c r="D385" s="5" t="s">
        <v>132</v>
      </c>
      <c r="E385" s="5" t="s">
        <v>137</v>
      </c>
      <c r="F385" s="5" t="s">
        <v>129</v>
      </c>
      <c r="G385" s="5" t="s">
        <v>60</v>
      </c>
      <c r="H385" s="5" t="s">
        <v>141</v>
      </c>
      <c r="I385" s="5" t="s">
        <v>152</v>
      </c>
    </row>
    <row r="386" spans="1:9" ht="43.2" x14ac:dyDescent="0.3">
      <c r="A386" s="5" t="s">
        <v>121</v>
      </c>
      <c r="B386" s="5" t="s">
        <v>135</v>
      </c>
      <c r="C386" s="5" t="s">
        <v>133</v>
      </c>
      <c r="D386" s="5" t="s">
        <v>132</v>
      </c>
      <c r="E386" s="5" t="s">
        <v>137</v>
      </c>
      <c r="F386" s="5" t="s">
        <v>129</v>
      </c>
      <c r="G386" s="5" t="s">
        <v>60</v>
      </c>
      <c r="H386" s="5" t="s">
        <v>141</v>
      </c>
      <c r="I386" s="5" t="s">
        <v>11</v>
      </c>
    </row>
    <row r="387" spans="1:9" ht="43.2" x14ac:dyDescent="0.3">
      <c r="A387" s="5" t="s">
        <v>121</v>
      </c>
      <c r="B387" s="5" t="s">
        <v>135</v>
      </c>
      <c r="C387" s="5" t="s">
        <v>133</v>
      </c>
      <c r="D387" s="5" t="s">
        <v>132</v>
      </c>
      <c r="E387" s="5" t="s">
        <v>137</v>
      </c>
      <c r="F387" s="5" t="s">
        <v>129</v>
      </c>
      <c r="G387" s="5" t="s">
        <v>60</v>
      </c>
      <c r="H387" s="5" t="s">
        <v>141</v>
      </c>
      <c r="I387" s="5" t="s">
        <v>147</v>
      </c>
    </row>
    <row r="388" spans="1:9" ht="43.2" x14ac:dyDescent="0.3">
      <c r="A388" s="5" t="s">
        <v>121</v>
      </c>
      <c r="B388" s="5" t="s">
        <v>135</v>
      </c>
      <c r="C388" s="5" t="s">
        <v>133</v>
      </c>
      <c r="D388" s="5" t="s">
        <v>132</v>
      </c>
      <c r="E388" s="5" t="s">
        <v>137</v>
      </c>
      <c r="F388" s="5" t="s">
        <v>129</v>
      </c>
      <c r="G388" s="5" t="s">
        <v>60</v>
      </c>
      <c r="H388" s="5" t="s">
        <v>139</v>
      </c>
      <c r="I388" s="5" t="s">
        <v>153</v>
      </c>
    </row>
    <row r="389" spans="1:9" ht="43.2" x14ac:dyDescent="0.3">
      <c r="A389" s="5" t="s">
        <v>121</v>
      </c>
      <c r="B389" s="5" t="s">
        <v>135</v>
      </c>
      <c r="C389" s="5" t="s">
        <v>133</v>
      </c>
      <c r="D389" s="5" t="s">
        <v>132</v>
      </c>
      <c r="E389" s="5" t="s">
        <v>137</v>
      </c>
      <c r="F389" s="5" t="s">
        <v>129</v>
      </c>
      <c r="G389" s="5" t="s">
        <v>60</v>
      </c>
      <c r="H389" s="5" t="s">
        <v>139</v>
      </c>
      <c r="I389" s="5" t="s">
        <v>155</v>
      </c>
    </row>
    <row r="390" spans="1:9" ht="43.2" x14ac:dyDescent="0.3">
      <c r="A390" s="5" t="s">
        <v>121</v>
      </c>
      <c r="B390" s="5" t="s">
        <v>135</v>
      </c>
      <c r="C390" s="5" t="s">
        <v>133</v>
      </c>
      <c r="D390" s="5" t="s">
        <v>132</v>
      </c>
      <c r="E390" s="5" t="s">
        <v>137</v>
      </c>
      <c r="F390" s="5" t="s">
        <v>129</v>
      </c>
      <c r="G390" s="5" t="s">
        <v>60</v>
      </c>
      <c r="H390" s="5" t="s">
        <v>139</v>
      </c>
      <c r="I390" s="5" t="s">
        <v>147</v>
      </c>
    </row>
    <row r="391" spans="1:9" ht="43.2" x14ac:dyDescent="0.3">
      <c r="A391" s="5" t="s">
        <v>121</v>
      </c>
      <c r="B391" s="5" t="s">
        <v>135</v>
      </c>
      <c r="C391" s="5" t="s">
        <v>133</v>
      </c>
      <c r="D391" s="5" t="s">
        <v>132</v>
      </c>
      <c r="E391" s="5" t="s">
        <v>137</v>
      </c>
      <c r="F391" s="5" t="s">
        <v>129</v>
      </c>
      <c r="G391" s="5" t="s">
        <v>60</v>
      </c>
      <c r="H391" s="5" t="s">
        <v>139</v>
      </c>
      <c r="I391" s="5" t="s">
        <v>11</v>
      </c>
    </row>
    <row r="392" spans="1:9" ht="43.2" x14ac:dyDescent="0.3">
      <c r="A392" s="5" t="s">
        <v>121</v>
      </c>
      <c r="B392" s="5" t="s">
        <v>135</v>
      </c>
      <c r="C392" s="5" t="s">
        <v>133</v>
      </c>
      <c r="D392" s="5" t="s">
        <v>132</v>
      </c>
      <c r="E392" s="5" t="s">
        <v>137</v>
      </c>
      <c r="F392" s="5" t="s">
        <v>129</v>
      </c>
      <c r="G392" s="5" t="s">
        <v>60</v>
      </c>
      <c r="H392" s="5" t="s">
        <v>145</v>
      </c>
      <c r="I392" s="5" t="s">
        <v>11</v>
      </c>
    </row>
    <row r="393" spans="1:9" ht="43.2" x14ac:dyDescent="0.3">
      <c r="A393" s="5" t="s">
        <v>121</v>
      </c>
      <c r="B393" s="5" t="s">
        <v>135</v>
      </c>
      <c r="C393" s="5" t="s">
        <v>133</v>
      </c>
      <c r="D393" s="5" t="s">
        <v>132</v>
      </c>
      <c r="E393" s="5" t="s">
        <v>137</v>
      </c>
      <c r="F393" s="5" t="s">
        <v>129</v>
      </c>
      <c r="G393" s="5" t="s">
        <v>60</v>
      </c>
      <c r="H393" s="5" t="s">
        <v>145</v>
      </c>
      <c r="I393" s="5" t="s">
        <v>207</v>
      </c>
    </row>
    <row r="394" spans="1:9" ht="43.2" x14ac:dyDescent="0.3">
      <c r="A394" s="5" t="s">
        <v>121</v>
      </c>
      <c r="B394" s="5" t="s">
        <v>135</v>
      </c>
      <c r="C394" s="5" t="s">
        <v>133</v>
      </c>
      <c r="D394" s="5" t="s">
        <v>132</v>
      </c>
      <c r="E394" s="5" t="s">
        <v>137</v>
      </c>
      <c r="F394" s="5" t="s">
        <v>129</v>
      </c>
      <c r="G394" s="5" t="s">
        <v>60</v>
      </c>
      <c r="H394" s="5" t="s">
        <v>145</v>
      </c>
      <c r="I394" s="5" t="s">
        <v>147</v>
      </c>
    </row>
    <row r="395" spans="1:9" ht="43.2" x14ac:dyDescent="0.3">
      <c r="A395" s="5" t="s">
        <v>121</v>
      </c>
      <c r="B395" s="5" t="s">
        <v>135</v>
      </c>
      <c r="C395" s="5" t="s">
        <v>133</v>
      </c>
      <c r="D395" s="5" t="s">
        <v>132</v>
      </c>
      <c r="E395" s="5" t="s">
        <v>137</v>
      </c>
      <c r="F395" s="5" t="s">
        <v>129</v>
      </c>
      <c r="G395" s="5" t="s">
        <v>60</v>
      </c>
      <c r="H395" s="5" t="s">
        <v>145</v>
      </c>
      <c r="I395" s="5" t="s">
        <v>154</v>
      </c>
    </row>
    <row r="396" spans="1:9" ht="43.2" x14ac:dyDescent="0.3">
      <c r="A396" s="5" t="s">
        <v>121</v>
      </c>
      <c r="B396" s="5" t="s">
        <v>135</v>
      </c>
      <c r="C396" s="5" t="s">
        <v>133</v>
      </c>
      <c r="D396" s="5" t="s">
        <v>132</v>
      </c>
      <c r="E396" s="5" t="s">
        <v>137</v>
      </c>
      <c r="F396" s="5" t="s">
        <v>129</v>
      </c>
      <c r="G396" s="5" t="s">
        <v>60</v>
      </c>
      <c r="H396" s="5" t="s">
        <v>145</v>
      </c>
      <c r="I396" s="5" t="s">
        <v>157</v>
      </c>
    </row>
    <row r="397" spans="1:9" ht="43.2" x14ac:dyDescent="0.3">
      <c r="A397" s="5" t="s">
        <v>121</v>
      </c>
      <c r="B397" s="5" t="s">
        <v>134</v>
      </c>
      <c r="C397" s="5" t="s">
        <v>133</v>
      </c>
      <c r="D397" s="5" t="s">
        <v>132</v>
      </c>
      <c r="E397" s="5" t="s">
        <v>137</v>
      </c>
      <c r="F397" s="5" t="s">
        <v>129</v>
      </c>
      <c r="G397" s="5" t="s">
        <v>60</v>
      </c>
      <c r="H397" s="5" t="s">
        <v>140</v>
      </c>
      <c r="I397" s="5" t="s">
        <v>11</v>
      </c>
    </row>
    <row r="398" spans="1:9" ht="43.2" x14ac:dyDescent="0.3">
      <c r="A398" s="5" t="s">
        <v>121</v>
      </c>
      <c r="B398" s="5" t="s">
        <v>134</v>
      </c>
      <c r="C398" s="5" t="s">
        <v>133</v>
      </c>
      <c r="D398" s="5" t="s">
        <v>132</v>
      </c>
      <c r="E398" s="5" t="s">
        <v>137</v>
      </c>
      <c r="F398" s="5" t="s">
        <v>129</v>
      </c>
      <c r="G398" s="5" t="s">
        <v>60</v>
      </c>
      <c r="H398" s="5" t="s">
        <v>144</v>
      </c>
      <c r="I398" s="5" t="s">
        <v>147</v>
      </c>
    </row>
    <row r="399" spans="1:9" ht="43.2" x14ac:dyDescent="0.3">
      <c r="A399" s="5" t="s">
        <v>121</v>
      </c>
      <c r="B399" s="5" t="s">
        <v>134</v>
      </c>
      <c r="C399" s="5" t="s">
        <v>133</v>
      </c>
      <c r="D399" s="5" t="s">
        <v>132</v>
      </c>
      <c r="E399" s="5" t="s">
        <v>137</v>
      </c>
      <c r="F399" s="5" t="s">
        <v>129</v>
      </c>
      <c r="G399" s="5" t="s">
        <v>60</v>
      </c>
      <c r="H399" s="5" t="s">
        <v>144</v>
      </c>
      <c r="I399" s="5" t="s">
        <v>11</v>
      </c>
    </row>
    <row r="400" spans="1:9" ht="43.2" x14ac:dyDescent="0.3">
      <c r="A400" s="5" t="s">
        <v>121</v>
      </c>
      <c r="B400" s="5" t="s">
        <v>135</v>
      </c>
      <c r="C400" s="5" t="s">
        <v>133</v>
      </c>
      <c r="D400" s="5" t="s">
        <v>132</v>
      </c>
      <c r="E400" s="5" t="s">
        <v>137</v>
      </c>
      <c r="F400" s="5" t="s">
        <v>129</v>
      </c>
      <c r="G400" s="5" t="s">
        <v>206</v>
      </c>
      <c r="H400" s="5" t="s">
        <v>141</v>
      </c>
      <c r="I400" s="5" t="s">
        <v>7</v>
      </c>
    </row>
    <row r="401" spans="1:9" ht="43.2" x14ac:dyDescent="0.3">
      <c r="A401" s="5" t="s">
        <v>121</v>
      </c>
      <c r="B401" s="5" t="s">
        <v>135</v>
      </c>
      <c r="C401" s="5" t="s">
        <v>133</v>
      </c>
      <c r="D401" s="5" t="s">
        <v>132</v>
      </c>
      <c r="E401" s="5" t="s">
        <v>137</v>
      </c>
      <c r="F401" s="5" t="s">
        <v>129</v>
      </c>
      <c r="G401" s="5" t="s">
        <v>206</v>
      </c>
      <c r="H401" s="5" t="s">
        <v>141</v>
      </c>
      <c r="I401" s="5" t="s">
        <v>152</v>
      </c>
    </row>
    <row r="402" spans="1:9" ht="43.2" x14ac:dyDescent="0.3">
      <c r="A402" s="5" t="s">
        <v>121</v>
      </c>
      <c r="B402" s="5" t="s">
        <v>135</v>
      </c>
      <c r="C402" s="5" t="s">
        <v>133</v>
      </c>
      <c r="D402" s="5" t="s">
        <v>132</v>
      </c>
      <c r="E402" s="5" t="s">
        <v>137</v>
      </c>
      <c r="F402" s="5" t="s">
        <v>129</v>
      </c>
      <c r="G402" s="5" t="s">
        <v>206</v>
      </c>
      <c r="H402" s="5" t="s">
        <v>139</v>
      </c>
      <c r="I402" s="5" t="s">
        <v>7</v>
      </c>
    </row>
    <row r="403" spans="1:9" ht="43.2" x14ac:dyDescent="0.3">
      <c r="A403" s="5" t="s">
        <v>121</v>
      </c>
      <c r="B403" s="5" t="s">
        <v>135</v>
      </c>
      <c r="C403" s="5" t="s">
        <v>133</v>
      </c>
      <c r="D403" s="5" t="s">
        <v>132</v>
      </c>
      <c r="E403" s="5" t="s">
        <v>137</v>
      </c>
      <c r="F403" s="5" t="s">
        <v>129</v>
      </c>
      <c r="G403" s="5" t="s">
        <v>206</v>
      </c>
      <c r="H403" s="5" t="s">
        <v>139</v>
      </c>
      <c r="I403" s="5" t="s">
        <v>153</v>
      </c>
    </row>
    <row r="404" spans="1:9" ht="43.2" x14ac:dyDescent="0.3">
      <c r="A404" s="5" t="s">
        <v>121</v>
      </c>
      <c r="B404" s="5" t="s">
        <v>135</v>
      </c>
      <c r="C404" s="5" t="s">
        <v>133</v>
      </c>
      <c r="D404" s="5" t="s">
        <v>132</v>
      </c>
      <c r="E404" s="5" t="s">
        <v>137</v>
      </c>
      <c r="F404" s="5" t="s">
        <v>129</v>
      </c>
      <c r="G404" s="5" t="s">
        <v>206</v>
      </c>
      <c r="H404" s="5" t="s">
        <v>139</v>
      </c>
      <c r="I404" s="5" t="s">
        <v>155</v>
      </c>
    </row>
    <row r="405" spans="1:9" ht="43.2" x14ac:dyDescent="0.3">
      <c r="A405" s="5" t="s">
        <v>121</v>
      </c>
      <c r="B405" s="5" t="s">
        <v>136</v>
      </c>
      <c r="C405" s="5" t="s">
        <v>133</v>
      </c>
      <c r="D405" s="5" t="s">
        <v>132</v>
      </c>
      <c r="E405" s="5" t="s">
        <v>137</v>
      </c>
      <c r="F405" s="5" t="s">
        <v>129</v>
      </c>
      <c r="G405" s="5" t="s">
        <v>206</v>
      </c>
      <c r="H405" s="5" t="s">
        <v>5</v>
      </c>
      <c r="I405" s="5" t="s">
        <v>154</v>
      </c>
    </row>
    <row r="406" spans="1:9" ht="43.2" x14ac:dyDescent="0.3">
      <c r="A406" s="5" t="s">
        <v>121</v>
      </c>
      <c r="B406" s="5" t="s">
        <v>136</v>
      </c>
      <c r="C406" s="5" t="s">
        <v>133</v>
      </c>
      <c r="D406" s="5" t="s">
        <v>132</v>
      </c>
      <c r="E406" s="5" t="s">
        <v>137</v>
      </c>
      <c r="F406" s="5" t="s">
        <v>129</v>
      </c>
      <c r="G406" s="5" t="s">
        <v>206</v>
      </c>
      <c r="H406" s="5" t="s">
        <v>5</v>
      </c>
      <c r="I406" s="5" t="s">
        <v>6</v>
      </c>
    </row>
    <row r="407" spans="1:9" ht="43.2" x14ac:dyDescent="0.3">
      <c r="A407" s="5" t="s">
        <v>121</v>
      </c>
      <c r="B407" s="5" t="s">
        <v>136</v>
      </c>
      <c r="C407" s="5" t="s">
        <v>133</v>
      </c>
      <c r="D407" s="5" t="s">
        <v>132</v>
      </c>
      <c r="E407" s="5" t="s">
        <v>137</v>
      </c>
      <c r="F407" s="5" t="s">
        <v>129</v>
      </c>
      <c r="G407" s="5" t="s">
        <v>14</v>
      </c>
      <c r="H407" s="5" t="s">
        <v>5</v>
      </c>
      <c r="I407" s="5" t="s">
        <v>308</v>
      </c>
    </row>
    <row r="408" spans="1:9" ht="43.2" x14ac:dyDescent="0.3">
      <c r="A408" s="5" t="s">
        <v>121</v>
      </c>
      <c r="B408" s="5" t="s">
        <v>136</v>
      </c>
      <c r="C408" s="5" t="s">
        <v>133</v>
      </c>
      <c r="D408" s="5" t="s">
        <v>132</v>
      </c>
      <c r="E408" s="5" t="s">
        <v>137</v>
      </c>
      <c r="F408" s="5" t="s">
        <v>129</v>
      </c>
      <c r="G408" s="5" t="s">
        <v>14</v>
      </c>
      <c r="H408" s="5" t="s">
        <v>5</v>
      </c>
      <c r="I408" s="5" t="s">
        <v>186</v>
      </c>
    </row>
    <row r="409" spans="1:9" ht="43.2" x14ac:dyDescent="0.3">
      <c r="A409" s="5" t="s">
        <v>121</v>
      </c>
      <c r="B409" s="5" t="s">
        <v>136</v>
      </c>
      <c r="C409" s="5" t="s">
        <v>133</v>
      </c>
      <c r="D409" s="5" t="s">
        <v>132</v>
      </c>
      <c r="E409" s="5" t="s">
        <v>137</v>
      </c>
      <c r="F409" s="5" t="s">
        <v>129</v>
      </c>
      <c r="G409" s="5" t="s">
        <v>14</v>
      </c>
      <c r="H409" s="5" t="s">
        <v>5</v>
      </c>
      <c r="I409" s="5" t="s">
        <v>309</v>
      </c>
    </row>
    <row r="410" spans="1:9" ht="43.2" x14ac:dyDescent="0.3">
      <c r="A410" s="5" t="s">
        <v>121</v>
      </c>
      <c r="B410" s="5" t="s">
        <v>136</v>
      </c>
      <c r="C410" s="5" t="s">
        <v>133</v>
      </c>
      <c r="D410" s="5" t="s">
        <v>132</v>
      </c>
      <c r="E410" s="5" t="s">
        <v>137</v>
      </c>
      <c r="F410" s="5" t="s">
        <v>129</v>
      </c>
      <c r="G410" s="5" t="s">
        <v>14</v>
      </c>
      <c r="H410" s="5" t="s">
        <v>5</v>
      </c>
      <c r="I410" s="5" t="s">
        <v>15</v>
      </c>
    </row>
    <row r="411" spans="1:9" ht="43.2" x14ac:dyDescent="0.3">
      <c r="A411" s="5" t="s">
        <v>121</v>
      </c>
      <c r="B411" s="5" t="s">
        <v>136</v>
      </c>
      <c r="C411" s="5" t="s">
        <v>133</v>
      </c>
      <c r="D411" s="5" t="s">
        <v>132</v>
      </c>
      <c r="E411" s="5" t="s">
        <v>137</v>
      </c>
      <c r="F411" s="5" t="s">
        <v>129</v>
      </c>
      <c r="G411" s="5" t="s">
        <v>14</v>
      </c>
      <c r="H411" s="5" t="s">
        <v>5</v>
      </c>
      <c r="I411" s="5" t="s">
        <v>310</v>
      </c>
    </row>
    <row r="412" spans="1:9" ht="43.2" x14ac:dyDescent="0.3">
      <c r="A412" s="5" t="s">
        <v>121</v>
      </c>
      <c r="B412" s="5" t="s">
        <v>59</v>
      </c>
      <c r="C412" s="5" t="s">
        <v>133</v>
      </c>
      <c r="D412" s="5" t="s">
        <v>132</v>
      </c>
      <c r="E412" s="5" t="s">
        <v>137</v>
      </c>
      <c r="F412" s="5" t="s">
        <v>129</v>
      </c>
      <c r="G412" s="5" t="s">
        <v>311</v>
      </c>
      <c r="H412" s="5" t="s">
        <v>5</v>
      </c>
      <c r="I412" s="5" t="s">
        <v>187</v>
      </c>
    </row>
    <row r="413" spans="1:9" ht="64.8" x14ac:dyDescent="0.3">
      <c r="A413" s="5" t="s">
        <v>121</v>
      </c>
      <c r="B413" s="5" t="s">
        <v>59</v>
      </c>
      <c r="C413" s="5" t="s">
        <v>133</v>
      </c>
      <c r="D413" s="5" t="s">
        <v>132</v>
      </c>
      <c r="E413" s="5" t="s">
        <v>137</v>
      </c>
      <c r="F413" s="5" t="s">
        <v>129</v>
      </c>
      <c r="G413" s="5" t="s">
        <v>311</v>
      </c>
      <c r="H413" s="5" t="s">
        <v>5</v>
      </c>
      <c r="I413" s="5" t="s">
        <v>185</v>
      </c>
    </row>
    <row r="414" spans="1:9" ht="43.2" x14ac:dyDescent="0.3">
      <c r="A414" s="5" t="s">
        <v>121</v>
      </c>
      <c r="B414" s="5" t="s">
        <v>59</v>
      </c>
      <c r="C414" s="5" t="s">
        <v>133</v>
      </c>
      <c r="D414" s="5" t="s">
        <v>132</v>
      </c>
      <c r="E414" s="5" t="s">
        <v>137</v>
      </c>
      <c r="F414" s="5" t="s">
        <v>129</v>
      </c>
      <c r="G414" s="5" t="s">
        <v>311</v>
      </c>
      <c r="H414" s="5" t="s">
        <v>5</v>
      </c>
      <c r="I414" s="5" t="s">
        <v>312</v>
      </c>
    </row>
    <row r="415" spans="1:9" ht="43.2" x14ac:dyDescent="0.3">
      <c r="A415" s="5" t="s">
        <v>121</v>
      </c>
      <c r="B415" s="5" t="s">
        <v>59</v>
      </c>
      <c r="C415" s="5" t="s">
        <v>133</v>
      </c>
      <c r="D415" s="5" t="s">
        <v>132</v>
      </c>
      <c r="E415" s="5" t="s">
        <v>137</v>
      </c>
      <c r="F415" s="5" t="s">
        <v>129</v>
      </c>
      <c r="G415" s="5" t="s">
        <v>311</v>
      </c>
      <c r="H415" s="5" t="s">
        <v>5</v>
      </c>
      <c r="I415" s="5" t="s">
        <v>313</v>
      </c>
    </row>
  </sheetData>
  <sheetProtection selectLockedCells="1"/>
  <autoFilter ref="A1:I415"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A2"/>
  <sheetViews>
    <sheetView rightToLeft="1" zoomScale="70" zoomScaleNormal="70" workbookViewId="0"/>
  </sheetViews>
  <sheetFormatPr defaultColWidth="9.109375" defaultRowHeight="18.600000000000001" x14ac:dyDescent="0.3"/>
  <cols>
    <col min="1" max="21" width="20.6640625" style="1" customWidth="1"/>
    <col min="22" max="26" width="9.109375" style="1"/>
    <col min="27" max="38" width="20.6640625" style="1" customWidth="1"/>
    <col min="39" max="52" width="9.109375" style="1"/>
    <col min="53" max="56" width="30.6640625" style="1" customWidth="1"/>
    <col min="57" max="104" width="9.109375" style="1"/>
    <col min="105" max="106" width="20.6640625" style="1" customWidth="1"/>
    <col min="107" max="107" width="100.6640625" style="1" customWidth="1"/>
    <col min="108" max="109" width="20.6640625" style="1" customWidth="1"/>
    <col min="110" max="130" width="9.109375" style="1"/>
    <col min="131" max="134" width="20.6640625" style="1" customWidth="1"/>
    <col min="135" max="156" width="9.109375" style="1"/>
    <col min="157" max="157" width="20.6640625" style="1" customWidth="1"/>
    <col min="158" max="182" width="9.109375" style="1"/>
    <col min="183" max="183" width="20.6640625" style="1" customWidth="1"/>
    <col min="184" max="208" width="9.109375" style="1"/>
    <col min="209" max="211" width="20.6640625" style="1" customWidth="1"/>
    <col min="212" max="234" width="9.109375" style="1"/>
    <col min="235" max="235" width="20.6640625" style="1" customWidth="1"/>
    <col min="236" max="260" width="9.109375" style="1"/>
    <col min="261" max="261" width="20.6640625" style="1" customWidth="1"/>
    <col min="262" max="16384" width="9.109375" style="1"/>
  </cols>
  <sheetData>
    <row r="1" spans="1:261" x14ac:dyDescent="0.3">
      <c r="A1" s="2" t="s">
        <v>16</v>
      </c>
      <c r="B1" s="2" t="s">
        <v>17</v>
      </c>
      <c r="C1" s="2" t="s">
        <v>18</v>
      </c>
      <c r="D1" s="2" t="s">
        <v>19</v>
      </c>
      <c r="E1" s="2" t="s">
        <v>20</v>
      </c>
      <c r="F1" s="2" t="s">
        <v>21</v>
      </c>
      <c r="G1" s="2" t="s">
        <v>22</v>
      </c>
      <c r="H1" s="2" t="s">
        <v>23</v>
      </c>
      <c r="I1" s="2" t="s">
        <v>24</v>
      </c>
      <c r="J1" s="2" t="s">
        <v>33</v>
      </c>
      <c r="K1" s="2" t="s">
        <v>34</v>
      </c>
      <c r="L1" s="2" t="s">
        <v>39</v>
      </c>
      <c r="M1" s="2" t="s">
        <v>56</v>
      </c>
      <c r="N1" s="2" t="s">
        <v>57</v>
      </c>
      <c r="O1" s="2" t="s">
        <v>72</v>
      </c>
      <c r="P1" s="2" t="s">
        <v>73</v>
      </c>
      <c r="Q1" s="2" t="s">
        <v>75</v>
      </c>
      <c r="R1" s="2" t="s">
        <v>114</v>
      </c>
      <c r="S1" s="2" t="s">
        <v>222</v>
      </c>
      <c r="T1" s="2" t="s">
        <v>223</v>
      </c>
      <c r="U1" s="2" t="s">
        <v>286</v>
      </c>
      <c r="AA1" s="2" t="s">
        <v>25</v>
      </c>
      <c r="AB1" s="2" t="s">
        <v>26</v>
      </c>
      <c r="AC1" s="2" t="s">
        <v>27</v>
      </c>
      <c r="AD1" s="2" t="s">
        <v>28</v>
      </c>
      <c r="AE1" s="2" t="s">
        <v>40</v>
      </c>
      <c r="AF1" s="2" t="s">
        <v>80</v>
      </c>
      <c r="AG1" s="2" t="s">
        <v>98</v>
      </c>
      <c r="AH1" s="2" t="s">
        <v>233</v>
      </c>
      <c r="AI1" s="2" t="s">
        <v>246</v>
      </c>
      <c r="AJ1" s="2" t="s">
        <v>249</v>
      </c>
      <c r="AK1" s="2" t="s">
        <v>270</v>
      </c>
      <c r="AL1" s="2" t="s">
        <v>271</v>
      </c>
      <c r="BA1" s="2" t="s">
        <v>101</v>
      </c>
      <c r="BB1" s="2" t="s">
        <v>108</v>
      </c>
      <c r="BC1" s="2" t="s">
        <v>109</v>
      </c>
      <c r="BD1" s="2" t="s">
        <v>110</v>
      </c>
      <c r="DA1" s="2" t="s">
        <v>102</v>
      </c>
      <c r="DB1" s="2" t="s">
        <v>103</v>
      </c>
      <c r="DC1" s="2" t="s">
        <v>104</v>
      </c>
      <c r="DD1" s="2" t="s">
        <v>105</v>
      </c>
      <c r="DE1" s="2" t="s">
        <v>106</v>
      </c>
      <c r="EA1" s="2" t="s">
        <v>115</v>
      </c>
      <c r="EB1" s="2" t="s">
        <v>116</v>
      </c>
      <c r="EC1" s="2" t="s">
        <v>117</v>
      </c>
      <c r="ED1" s="2" t="s">
        <v>118</v>
      </c>
      <c r="FA1" s="2" t="s">
        <v>242</v>
      </c>
      <c r="GA1" s="2" t="s">
        <v>247</v>
      </c>
      <c r="HA1" s="2" t="s">
        <v>248</v>
      </c>
      <c r="HB1" s="2" t="s">
        <v>252</v>
      </c>
      <c r="HC1" s="2" t="s">
        <v>252</v>
      </c>
      <c r="IA1" s="2" t="s">
        <v>255</v>
      </c>
      <c r="JA1" s="2" t="s">
        <v>275</v>
      </c>
    </row>
    <row r="2" spans="1:261" ht="130.19999999999999" x14ac:dyDescent="0.3">
      <c r="A2" s="2"/>
      <c r="B2" s="2" t="s">
        <v>31</v>
      </c>
      <c r="C2" s="2" t="s">
        <v>229</v>
      </c>
      <c r="D2" s="2" t="s">
        <v>230</v>
      </c>
      <c r="E2" s="2" t="s">
        <v>231</v>
      </c>
      <c r="F2" s="2" t="s">
        <v>232</v>
      </c>
      <c r="G2" s="2" t="s">
        <v>224</v>
      </c>
      <c r="H2" s="2" t="s">
        <v>225</v>
      </c>
      <c r="I2" s="2" t="s">
        <v>226</v>
      </c>
      <c r="J2" s="2" t="s">
        <v>227</v>
      </c>
      <c r="K2" s="2" t="s">
        <v>228</v>
      </c>
      <c r="L2" s="2" t="s">
        <v>42</v>
      </c>
      <c r="M2" s="2" t="s">
        <v>55</v>
      </c>
      <c r="N2" s="2" t="s">
        <v>58</v>
      </c>
      <c r="O2" s="2" t="s">
        <v>76</v>
      </c>
      <c r="P2" s="2" t="s">
        <v>266</v>
      </c>
      <c r="Q2" s="2" t="str">
        <f>MainPage!BO5</f>
        <v/>
      </c>
      <c r="R2" s="2" t="s">
        <v>113</v>
      </c>
      <c r="S2" s="2"/>
      <c r="T2" s="2" t="s">
        <v>277</v>
      </c>
      <c r="U2" s="2" t="s">
        <v>287</v>
      </c>
      <c r="AA2" s="2" t="s">
        <v>29</v>
      </c>
      <c r="AB2" s="2" t="s">
        <v>30</v>
      </c>
      <c r="AC2" s="2" t="s">
        <v>32</v>
      </c>
      <c r="AD2" s="2" t="s">
        <v>35</v>
      </c>
      <c r="AE2" s="2" t="s">
        <v>41</v>
      </c>
      <c r="AF2" s="2" t="s">
        <v>107</v>
      </c>
      <c r="AG2" s="2" t="s">
        <v>234</v>
      </c>
      <c r="AH2" s="2" t="s">
        <v>235</v>
      </c>
      <c r="AI2" s="2" t="s">
        <v>260</v>
      </c>
      <c r="AJ2" s="2" t="s">
        <v>250</v>
      </c>
      <c r="AK2" s="2" t="s">
        <v>272</v>
      </c>
      <c r="AL2" s="2" t="s">
        <v>273</v>
      </c>
      <c r="BA2" s="2" t="s">
        <v>107</v>
      </c>
      <c r="BB2" s="2" t="s">
        <v>111</v>
      </c>
      <c r="BC2" s="2" t="s">
        <v>241</v>
      </c>
      <c r="BD2" s="2" t="s">
        <v>112</v>
      </c>
      <c r="DA2" s="2" t="s">
        <v>236</v>
      </c>
      <c r="DB2" s="2" t="s">
        <v>318</v>
      </c>
      <c r="DC2" s="2" t="s">
        <v>319</v>
      </c>
      <c r="DD2" s="2" t="s">
        <v>315</v>
      </c>
      <c r="DE2" s="2" t="s">
        <v>316</v>
      </c>
      <c r="EA2" s="2" t="s">
        <v>217</v>
      </c>
      <c r="EB2" s="2" t="s">
        <v>218</v>
      </c>
      <c r="EC2" s="2" t="s">
        <v>120</v>
      </c>
      <c r="ED2" s="2" t="s">
        <v>119</v>
      </c>
      <c r="FA2" s="2" t="s">
        <v>243</v>
      </c>
      <c r="GA2" s="2" t="s">
        <v>258</v>
      </c>
      <c r="HA2" s="2" t="s">
        <v>253</v>
      </c>
      <c r="HB2" s="2" t="s">
        <v>251</v>
      </c>
      <c r="HC2" s="2" t="s">
        <v>254</v>
      </c>
      <c r="IA2" s="2" t="s">
        <v>256</v>
      </c>
      <c r="JA2" s="2" t="s">
        <v>276</v>
      </c>
    </row>
  </sheetData>
  <sheetProtection selectLockedCells="1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ReportProblems</vt:lpstr>
      <vt:lpstr>MainData</vt:lpstr>
      <vt:lpstr>Network</vt:lpstr>
      <vt:lpstr>NetworkTechnology</vt:lpstr>
      <vt:lpstr>Node</vt:lpstr>
      <vt:lpstr>ProductStatus</vt:lpstr>
      <vt:lpstr>ProductType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Amir Noorzadeh</dc:creator>
  <cp:lastModifiedBy>Amir</cp:lastModifiedBy>
  <dcterms:created xsi:type="dcterms:W3CDTF">2021-11-19T12:29:11Z</dcterms:created>
  <dcterms:modified xsi:type="dcterms:W3CDTF">2022-06-16T02:35:04Z</dcterms:modified>
</cp:coreProperties>
</file>